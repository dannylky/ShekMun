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tables/table3.xml" ContentType="application/vnd.openxmlformats-officedocument.spreadsheetml.table+xml"/>
  <Override PartName="/xl/namedSheetViews/namedSheetView2.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0" documentId="8_{0D4E140A-05B7-4A2F-B7BA-723FBA063B40}" xr6:coauthVersionLast="47" xr6:coauthVersionMax="47" xr10:uidLastSave="{00000000-0000-0000-0000-000000000000}"/>
  <bookViews>
    <workbookView xWindow="0" yWindow="0" windowWidth="0" windowHeight="0" xr2:uid="{00000000-000D-0000-FFFF-FFFF00000000}"/>
  </bookViews>
  <sheets>
    <sheet name="Case Reports" sheetId="1" r:id="rId1"/>
    <sheet name="Executive Summary" sheetId="2" state="hidden" r:id="rId2"/>
    <sheet name="Open Cases" sheetId="3" state="hidden" r:id="rId3"/>
    <sheet name="Follow-up Suggestions" sheetId="4" state="hidden" r:id="rId4"/>
    <sheet name="Case Reports (old)" sheetId="5"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 l="1"/>
  <c r="B5" i="2"/>
  <c r="A5" i="2"/>
  <c r="D5" i="2"/>
  <c r="B11" i="2"/>
  <c r="B1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365 Copilot</author>
  </authors>
  <commentList>
    <comment ref="G1" authorId="0" shapeId="0" xr:uid="{00000000-0006-0000-0200-000001000000}">
      <text>
        <r>
          <rPr>
            <sz val="11"/>
            <color theme="1"/>
            <rFont val="新細明體"/>
            <family val="2"/>
            <scheme val="minor"/>
          </rPr>
          <t>Reference IDs correspond to the email search results used to build this workbook.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365 Copilot</author>
  </authors>
  <commentList>
    <comment ref="E2" authorId="0" shapeId="0" xr:uid="{00000000-0006-0000-0300-000001000000}">
      <text>
        <r>
          <rPr>
            <sz val="11"/>
            <color theme="1"/>
            <rFont val="新細明體"/>
            <family val="2"/>
            <scheme val="minor"/>
          </rPr>
          <t>Reference IDs correspond to the email search results used to build this workbook.</t>
        </r>
      </text>
    </comment>
  </commentList>
</comments>
</file>

<file path=xl/sharedStrings.xml><?xml version="1.0" encoding="utf-8"?>
<sst xmlns="http://schemas.openxmlformats.org/spreadsheetml/2006/main" count="1064" uniqueCount="424">
  <si>
    <t>Case ID</t>
  </si>
  <si>
    <t>Received Time</t>
  </si>
  <si>
    <t>Subject</t>
  </si>
  <si>
    <t>Reported Date/Time</t>
  </si>
  <si>
    <t>Reported By</t>
  </si>
  <si>
    <t>Location</t>
  </si>
  <si>
    <t>Category</t>
  </si>
  <si>
    <t>Case Title</t>
  </si>
  <si>
    <t>Status</t>
  </si>
  <si>
    <t>Case Description</t>
  </si>
  <si>
    <t>U-20260805081500</t>
  </si>
  <si>
    <t>2026-08-05 08:15:00 GMT+8</t>
  </si>
  <si>
    <t>Case Report - Shek Mun 11/F Control System Installed</t>
  </si>
  <si>
    <t>Danny LAM (ITSC)</t>
  </si>
  <si>
    <t>Shek Mun 11/F</t>
  </si>
  <si>
    <t>Software</t>
  </si>
  <si>
    <t>Control System Installed</t>
  </si>
  <si>
    <t>Resolved</t>
  </si>
  <si>
    <t>Control system installation at Shek Mun 11/F was completed successfully.</t>
  </si>
  <si>
    <t>U-20260826113000</t>
  </si>
  <si>
    <t>2026-08-26 11:30:00 GMT+8</t>
  </si>
  <si>
    <t>Case Report - Shek Mun 11/F Room SM04 Streamdeck Error</t>
  </si>
  <si>
    <t>2026-08-25 15:30:00 GMT+8</t>
  </si>
  <si>
    <t>Samuel Kong</t>
  </si>
  <si>
    <t>Shek Mun 11/F Room SM04</t>
  </si>
  <si>
    <t>Streamdeck Error</t>
  </si>
  <si>
    <t>Observation</t>
  </si>
  <si>
    <t>A Streamdeck error was reported in Shek Mun 11/F Room SM04. No error details or troubleshooting information were provided.</t>
  </si>
  <si>
    <t>U-20260826123000</t>
  </si>
  <si>
    <t>2026-08-26 12:30:00 GMT+8</t>
  </si>
  <si>
    <t>Case Report - ShekMun Office Laptop Deployment</t>
  </si>
  <si>
    <t>Ben Pang</t>
  </si>
  <si>
    <t>ShekMun Office</t>
  </si>
  <si>
    <t>PC Hardware</t>
  </si>
  <si>
    <t>Laptop Deployment Completed</t>
  </si>
  <si>
    <t>Done</t>
  </si>
  <si>
    <t>One or two laptops to be deployed to the ShekMun Office by Ben.</t>
  </si>
  <si>
    <t>Case Report - Shek Mun Room 5 and 6 LED Wall Color Calibration</t>
  </si>
  <si>
    <t>Shek Mun Room 5 and Room 6</t>
  </si>
  <si>
    <t>System</t>
  </si>
  <si>
    <t>LED Wall Color Calibration</t>
  </si>
  <si>
    <t>Samuel will coordinate with TVS to perform LED wall color calibration for Shek Mun Room 5 and Room 6. The work is scheduled to be completed on 27 Aug.</t>
  </si>
  <si>
    <t>U-20260826124500</t>
  </si>
  <si>
    <t>2026-08-26 12:45:00 GMT+8</t>
  </si>
  <si>
    <t>Case Report - All Shek Mun Classrooms Touch Monitor Upgrade</t>
  </si>
  <si>
    <t>Cibe</t>
  </si>
  <si>
    <t>All Shek Mun Classrooms</t>
  </si>
  <si>
    <t>Classroom - Display</t>
  </si>
  <si>
    <t>Lectern Touch Monitor Upgrade</t>
  </si>
  <si>
    <t>In Progress</t>
  </si>
  <si>
    <t>Cibe is upgrading lectern monitors to touch monitors for all Shek Mun classrooms. Upgrade work is currently in progress.</t>
  </si>
  <si>
    <t>Case Report - Shek Mun Campus Network Switch Power Schedule</t>
  </si>
  <si>
    <t>Ruby</t>
  </si>
  <si>
    <t>Shek Mun Campus</t>
  </si>
  <si>
    <t>Power Control Schedule Management</t>
  </si>
  <si>
    <t>Ruby is managing the Network Switch and PCU power control schedule for Shek Mun Campus. The implementation and configuration work are currently in progress.</t>
  </si>
  <si>
    <t>U-20260826131500</t>
  </si>
  <si>
    <t>2026-08-26 13:15:00 GMT+8</t>
  </si>
  <si>
    <t>Case Report - ShekMun Lecterns Desktop User Guide</t>
  </si>
  <si>
    <t>Samuel</t>
  </si>
  <si>
    <t>ShekMun Lecterns</t>
  </si>
  <si>
    <t>User Guide</t>
  </si>
  <si>
    <t>Desktop User Guide Preparation</t>
  </si>
  <si>
    <t>Samuel is preparing desktop user guides for ShekMun lecterns. Documentation work is currently in progress.</t>
  </si>
  <si>
    <t>U-20260826183000</t>
  </si>
  <si>
    <t>2026-08-26 18:30:00 GMT+8</t>
  </si>
  <si>
    <t>Case Report - ShekMun Soundbox Procurement</t>
  </si>
  <si>
    <t>ShekMun</t>
  </si>
  <si>
    <t>Soundbox Procurement Request</t>
  </si>
  <si>
    <t>Procurement of one soundbox for ShekMun has been requested. Procurement activity is pending completion.</t>
  </si>
  <si>
    <t>U-20260827171500</t>
  </si>
  <si>
    <t>2026-08-27 17:15:00 GMT+8</t>
  </si>
  <si>
    <t>Case Report - All Shek Mun Classrooms USB Hub Installation</t>
  </si>
  <si>
    <t>USB Hub Installation Completed</t>
  </si>
  <si>
    <t>Samuel completed installation of USB hubs in all Shek Mun classrooms to free up front-panel USB ports on classroom computers. Visualizers and webcams that previously could not be installed due to insufficient USB ports were also installed successfully.</t>
  </si>
  <si>
    <t>U-20260827173000</t>
  </si>
  <si>
    <t>2026-08-27 17:30:00 GMT+8</t>
  </si>
  <si>
    <t>Case Report - All Shek Mun Interactive TV HDMI Label Update</t>
  </si>
  <si>
    <t>Interactive TV HDMI Renamed</t>
  </si>
  <si>
    <t>Samuel reported that the HDMI 1 input name on all Shek Mun interactive TVs has been changed to 'Lectern PC'. The configuration update was completed successfully.</t>
  </si>
  <si>
    <t>U-20260830031500</t>
  </si>
  <si>
    <t>2026-08-30 11:15:00 GMT+8</t>
  </si>
  <si>
    <t>Case Report - ShekMun Room 2 AVoIP Decoder Network Error</t>
  </si>
  <si>
    <t>ShekMun Room 2</t>
  </si>
  <si>
    <t>AVoIP Decoder Network Error</t>
  </si>
  <si>
    <t>TV-DEC-2 AVoIP Decoder in ShekMun Room 2 reported a network connection error. The device continues to operate normally despite the error. The issue has been placed under observation for monitoring.</t>
  </si>
  <si>
    <t>U-20260831180000</t>
  </si>
  <si>
    <t>2026-08-31 18:00:00 GMT+8</t>
  </si>
  <si>
    <t>Case Report - Shek Mun Classrooms Touch Monitor Pen Purchase</t>
  </si>
  <si>
    <t>Shek Mun Classrooms</t>
  </si>
  <si>
    <t>Touch Monitor Pen Purchase</t>
  </si>
  <si>
    <t>Purchase of writing pens for touch monitors in Shek Mun classrooms is being arranged. Procurement activity is currently in progress.</t>
  </si>
  <si>
    <t>U-20260831100000</t>
  </si>
  <si>
    <t>Case Report - Shek Mun Room 1 Whiteboard Synchronization Issue</t>
  </si>
  <si>
    <t>Shek Mun Room 1 (SM1101)</t>
  </si>
  <si>
    <t>Whiteboard Synchronization Issue</t>
  </si>
  <si>
    <t>Not all smart whiteboards in SM1101 are synchronized to display writings on presentation slides. A request was made to check synchronization across all smart whiteboards in the room. If full synchronization is not achievable, the two smart whiteboards near the entrance should be prioritized. Investigation and remediation are in progress.</t>
  </si>
  <si>
    <t>U-20260831180001</t>
  </si>
  <si>
    <t>2026-08-31 18:00:01 GMT+8</t>
  </si>
  <si>
    <t>Case Report - Shek Mun Classrooms Interactive TV Auto Power-On</t>
  </si>
  <si>
    <t>Interactive TV Auto Power-On</t>
  </si>
  <si>
    <t>Interactive TVs in Shek Mun classrooms are automatically turning on at approximately 7:00 AM when triggered by AVoIP video signals. A study is being conducted to determine whether the automatic power-on feature can be disabled on the Interactive TV side. Investigation is in progress.</t>
  </si>
  <si>
    <t>U-20260901211500</t>
  </si>
  <si>
    <t>2026-09-01 21:15:00 GMT+8</t>
  </si>
  <si>
    <t>Case Report - Shek Mun Room 2 TV Freeze Issue</t>
  </si>
  <si>
    <t>Shek Mun Room 2</t>
  </si>
  <si>
    <t>AVoIP Resolution Mismatch Issue</t>
  </si>
  <si>
    <t>In Shek Mun Room 2, the right-side TV would freeze after operating for a period of time. The right-side TV equipment was replaced with new equipment to eliminate hardware failure as a possible cause. Initial investigation considered a wall network port issue and a network port change was planned. Root cause analysis determined that the issue was caused by a mismatch in the resolution settings of the AVoIP device. Reconfiguration has been scheduled.</t>
  </si>
  <si>
    <t>U-20260902100000</t>
  </si>
  <si>
    <t>2026-09-02 10:00:00 GMT+8</t>
  </si>
  <si>
    <t>Case Report - Shek Mun Room 3 Audio Mixer Control Error</t>
  </si>
  <si>
    <t>Shek Mun Room 3</t>
  </si>
  <si>
    <t>Audio Mixer Control Error</t>
  </si>
  <si>
    <r>
      <rPr>
        <sz val="10"/>
        <color rgb="FF000000"/>
        <rFont val="Calibri"/>
        <scheme val="minor"/>
      </rPr>
      <t xml:space="preserve">A control error was reported on the Audio Mixer (Yamaha DM3-D) in Shek Mun Room 3. Ruby will report the case to Nanpeng for follow-up investigation and resolution. The issue is currently being tracked and remains under investigation.
</t>
    </r>
    <r>
      <rPr>
        <b/>
        <sz val="10"/>
        <color rgb="FFFF0000"/>
        <rFont val="Calibri"/>
        <scheme val="minor"/>
      </rPr>
      <t xml:space="preserve">09 Sep 2026 update:
- Scheduled maintenance on 21 Sep 2026 1200-1400 by Supplier
</t>
    </r>
  </si>
  <si>
    <t>U-20260902164500</t>
  </si>
  <si>
    <t>2026-09-02 16:45:00 GMT+8</t>
  </si>
  <si>
    <t>Case Report - Shek Mun Classrooms USB Hub User Training</t>
  </si>
  <si>
    <t>USB Hub User Training</t>
  </si>
  <si>
    <t>User training on the use of USB hubs in Shek Mun classrooms is being arranged. Relevant user guides and instructional signage are being prepared to support classroom users. The activity is currently in progress.</t>
  </si>
  <si>
    <t>U-20260902170000</t>
  </si>
  <si>
    <t>2026-09-02 17:00:00 GMT+8</t>
  </si>
  <si>
    <t>Case Report - Shek Mun Room 1 Interactive TV Training</t>
  </si>
  <si>
    <t>Shek Mun Room 1</t>
  </si>
  <si>
    <t>User Training</t>
  </si>
  <si>
    <t>Interactive TV Training Request</t>
  </si>
  <si>
    <t>A request was received for further instructions on operating the four Interactive TVs in Shek Mun Room 1. Additional training sessions, training videos, and an expanded user guide will be prepared and arranged to support users. The follow-up activity is currently in progress.</t>
  </si>
  <si>
    <t>U-20260903011500</t>
  </si>
  <si>
    <t>2026-09-03 09:15:00 GMT+8</t>
  </si>
  <si>
    <t>Case Report - Shek Mun Room 1 TV2 display issue resolved</t>
  </si>
  <si>
    <t>TV2 Display Issue Resolved</t>
  </si>
  <si>
    <t>TV2 in Shek Mun Room 1 could not display properly. The decoder was restarted and normal display functionality resumed. The case is under observation after service recovery.
10:21 update: Room 1 Decoder 2 did not turn on HDCP, mismatched with the others, to be turned on.</t>
  </si>
  <si>
    <t>U-20260904002100</t>
  </si>
  <si>
    <t>2026-09-04 08:21:00 GMT+8</t>
  </si>
  <si>
    <t>Case Report - Shek Mun Room 1 TV 1 Power-On Issue</t>
  </si>
  <si>
    <t>TV 1 Power-On Issue</t>
  </si>
  <si>
    <t>Shek Mun Room 1 TV 1 did not turn on initially. A retry was performed and the TV powered on successfully. The issue has been temporarily resolved and the device has been placed under observation for further monitoring.</t>
  </si>
  <si>
    <t>U-20260904002200</t>
  </si>
  <si>
    <t>2026-09-04 08:22:00 GMT+8</t>
  </si>
  <si>
    <t>Case Report - Shek Mun Room 2 TV 2 Power-On Issue</t>
  </si>
  <si>
    <t>TV 2 Power-On Issue</t>
  </si>
  <si>
    <t>Shek Mun Room 2 TV 2 did not turn on initially. A retry was performed and the TV powered on successfully. The issue has been temporarily resolved and the device has been placed under observation for further monitoring.</t>
  </si>
  <si>
    <t>U-20260904002300</t>
  </si>
  <si>
    <t>2026-09-04 08:23:00 GMT+8</t>
  </si>
  <si>
    <t>Case Report - Shek Mun Room 1 TV 4 Decoder Signal Loss</t>
  </si>
  <si>
    <t>TV 4 Decoder Signal Loss</t>
  </si>
  <si>
    <t>Shek Mun Room 1 TV 4 decoder was not receiving signal. The decoder was restarted and normal operation resumed. The issue is currently under observation for further monitoring.</t>
  </si>
  <si>
    <t>U-20260907083000</t>
  </si>
  <si>
    <t>2026-09-07 08:30:00 GMT+8</t>
  </si>
  <si>
    <t>Case Report - Shek Mun Room 5 Decoder Display Issue</t>
  </si>
  <si>
    <t>Shek Mun Room 5</t>
  </si>
  <si>
    <t>Decoder PC Display Failure</t>
  </si>
  <si>
    <t>Shek Mun Room 5 decoder was unable to display the PC screen output. The decoder was restarted once and normal display functionality was restored. The issue has been resolved after the restart.</t>
  </si>
  <si>
    <t>U-20260909000000</t>
  </si>
  <si>
    <t>2026-09-09 08:00:00 GMT+8</t>
  </si>
  <si>
    <t>Case Report - Shek Mun Room 8 Left TV Startup Failure</t>
  </si>
  <si>
    <t>Shek Mun Room 8</t>
  </si>
  <si>
    <t>Left TV Startup Failure</t>
  </si>
  <si>
    <t>Shek Mun Room 8 Left TV did not turn on during the initial system startup. The 'TV Off' and 'TV On' commands were executed again, and the TV resumed normal operation. The issue was resolved after the corrective action.</t>
  </si>
  <si>
    <t>U-20260909093000</t>
  </si>
  <si>
    <t>2026-09-09 09:30:00 GMT+8</t>
  </si>
  <si>
    <t>Case Report - Shek Mun Room 1 TV 3 Decoder Signal Loss</t>
  </si>
  <si>
    <t>TV 3 Decoder Signal Loss</t>
  </si>
  <si>
    <t>Shek Mun Room 1 systems started normally. Approximately 20 minutes later, TV 3 decoder displayed a sleep image indicating no signal. Decoder 3 was restarted and normal operation resumed. During the decoder restart process, the TV also unexpectedly restarted and displayed the Fujitsu logo. The issue has been restored but requires observation and further monitoring.</t>
  </si>
  <si>
    <t>U-20260909013100</t>
  </si>
  <si>
    <t>2026-09-09 09:31:00 GMT+8</t>
  </si>
  <si>
    <t>Case Report - Shek Mun Room 1 TV 2 Unexpected Android Screen</t>
  </si>
  <si>
    <t>TV 2 Unexpected Android Screen</t>
  </si>
  <si>
    <t>Shek Mun Room 1 TV 2 unexpectedly displayed the Android screen. The TV source was switched back to the PC input using the remote control, after which the TV restarted. The display was restored following the restart. Further observation is required to determine the cause of the unexpected source change and restart.</t>
  </si>
  <si>
    <t>U-20260910044500</t>
  </si>
  <si>
    <t>2026-09-10 12:45:00 GMT+8</t>
  </si>
  <si>
    <t>Case Report - Shek Mun Room 1 TV 1 Unexpected Restart</t>
  </si>
  <si>
    <t>TV 1 Unexpected Restart</t>
  </si>
  <si>
    <t>Shek Mun Room 1 TV 1 experienced a restart event once. No further issues have been observed and the display is currently operating normally. The case is being monitored for recurrence.</t>
  </si>
  <si>
    <t>USS Case Report Inbox Summary</t>
  </si>
  <si>
    <t>Source: Inbox search results for Case Report emails on 10 Jul 2026. All counts below are based on the email records captured in this workbook.</t>
  </si>
  <si>
    <t>Total email records</t>
  </si>
  <si>
    <t>Open records</t>
  </si>
  <si>
    <t>Resolved records</t>
  </si>
  <si>
    <t>Unread records</t>
  </si>
  <si>
    <t>Status Summary</t>
  </si>
  <si>
    <t>Category Summary</t>
  </si>
  <si>
    <t>Count</t>
  </si>
  <si>
    <t>Open</t>
  </si>
  <si>
    <t>Event support</t>
  </si>
  <si>
    <t>Event support / Rehearsal</t>
  </si>
  <si>
    <t>Not specified</t>
  </si>
  <si>
    <t>Open Case Follow-up List</t>
  </si>
  <si>
    <t>Power Failure</t>
  </si>
  <si>
    <t>Source Reference</t>
  </si>
  <si>
    <t>N501</t>
  </si>
  <si>
    <t>Projector Black Screen Issue</t>
  </si>
  <si>
    <t>turn1search1</t>
  </si>
  <si>
    <t>M5 Control Room</t>
  </si>
  <si>
    <t>M5 Panel Replacement Work</t>
  </si>
  <si>
    <t>turn1search5</t>
  </si>
  <si>
    <t>Control Room Panel Replacement</t>
  </si>
  <si>
    <t>turn1search8</t>
  </si>
  <si>
    <t>D6</t>
  </si>
  <si>
    <t>D6 Network Outage</t>
  </si>
  <si>
    <t>turn1search11</t>
  </si>
  <si>
    <t>122</t>
  </si>
  <si>
    <t>122 Testing</t>
  </si>
  <si>
    <t>turn1search14</t>
  </si>
  <si>
    <t>M5 Control Room Panel Replacement</t>
  </si>
  <si>
    <t>turn1search15</t>
  </si>
  <si>
    <t>turn1search16</t>
  </si>
  <si>
    <t>Notes</t>
  </si>
  <si>
    <t>Some email records appear related or duplicated by subject/location (e.g., M5 Control Room, D604B, SPSS and Amos, 122 Testing). Review before using as unique case count.</t>
  </si>
  <si>
    <t>Description</t>
  </si>
  <si>
    <t>Read State</t>
  </si>
  <si>
    <t>10 Jul 2026 11:18</t>
  </si>
  <si>
    <t>The PC in N501 detected a second display, but the projector did not show any image and remained on a black screen. Troubleshooting performed included restarting all related equipment and bypassing the selector connection. The issue persisted and no display output was obtained from the projector.</t>
  </si>
  <si>
    <t>Unread</t>
  </si>
  <si>
    <t>10 Jul 2026 09:31</t>
  </si>
  <si>
    <t>CDMO will replace the electrical panel in the M5 Control Room on Saturday between 09:00 and 15:00. The work is scheduled maintenance activity related to power infrastructure.</t>
  </si>
  <si>
    <t>10 Jul 2026 09:28</t>
  </si>
  <si>
    <t>CDMO scheduled replacement of the electrical distribution panel in the M5 Control Room on Saturday from 09:00 to 15:00.</t>
  </si>
  <si>
    <t>Read</t>
  </si>
  <si>
    <t>10 Jul 2026 09:13</t>
  </si>
  <si>
    <t>A network outage affected the entire D6 floor. According to Mo, the UPS had tripped, resulting in loss of network connectivity across the area.</t>
  </si>
  <si>
    <t>10 Jul 2026 09:14</t>
  </si>
  <si>
    <t>Testing activity reported for location 122. No additional details, issues, symptoms, business impact, or troubleshooting information were provided.</t>
  </si>
  <si>
    <t>10 Jul 2026 09:30</t>
  </si>
  <si>
    <t>CDMO scheduled electrical panel replacement work in the M5 Control Room on Saturday from 09:00 to 15:00.</t>
  </si>
  <si>
    <t>Testing activity reported for location 122. No additional details, issues, symptoms, impact, or troubleshooting information were provided.</t>
  </si>
  <si>
    <t>Follow-up Suggestions (review before sending)</t>
  </si>
  <si>
    <t>Case</t>
  </si>
  <si>
    <t>Suggested next action</t>
  </si>
  <si>
    <t>Suggested owner/team</t>
  </si>
  <si>
    <t>Risk/Impact</t>
  </si>
  <si>
    <t>N501 Projector Black Screen Issue</t>
  </si>
  <si>
    <t>Arrange AV onsite inspection; verify projector input path, lamp/status indicators, HDMI/selector chain, and projector output configuration.</t>
  </si>
  <si>
    <t>AV Support</t>
  </si>
  <si>
    <t>Classroom display impact if room is in use.</t>
  </si>
  <si>
    <t>Coordinate with network/infrastructure team to verify UPS recovery and floor network equipment status.</t>
  </si>
  <si>
    <t>Network / Infrastructure</t>
  </si>
  <si>
    <t>Whole-floor network connectivity impact.</t>
  </si>
  <si>
    <t>Confirm maintenance window communication, power shutdown impact, backup requirements, and post-work verification.</t>
  </si>
  <si>
    <t>CDMO / ITSC coordination</t>
  </si>
  <si>
    <t>Power infrastructure maintenance coordination.</t>
  </si>
  <si>
    <t>turn1search5, turn1search8, turn1search15</t>
  </si>
  <si>
    <t>Request additional details if this should become an actionable incident record.</t>
  </si>
  <si>
    <t>Reporter / USS</t>
  </si>
  <si>
    <t>Insufficient details for follow-up classification.</t>
  </si>
  <si>
    <t>turn1search14, turn1search16</t>
  </si>
  <si>
    <t>Case Report - N501 Projector No Display</t>
  </si>
  <si>
    <t>2026-07-10 09:30 GMT+8</t>
  </si>
  <si>
    <t>10 Jul 2026 10:01</t>
  </si>
  <si>
    <t>Case Report - D714 TV Installation Completed</t>
  </si>
  <si>
    <t>D714</t>
  </si>
  <si>
    <t>D714 TV Installation Completed</t>
  </si>
  <si>
    <t>A 100-inch Xiaomi television has been installed in D714. The existing projector will be retained as a backup display solution. The projector and screen remotes are stored in the drawer beneath the Xiaomi television, while the television remote is placed on top of the PC unit.</t>
  </si>
  <si>
    <t>10 Jul 2026 09:39</t>
  </si>
  <si>
    <t>Case Report - OneDrive Re-login Completed</t>
  </si>
  <si>
    <t>M246</t>
  </si>
  <si>
    <t>OneDrive Re-login Completed</t>
  </si>
  <si>
    <t>Tim experienced an issue requiring OneDrive re-authentication in M246. The user was re-logged into OneDrive successfully and the issue was resolved.</t>
  </si>
  <si>
    <t>10 Jul 2026 09:41</t>
  </si>
  <si>
    <t>Case Report - SPSS and Amos Update</t>
  </si>
  <si>
    <t>M406</t>
  </si>
  <si>
    <t>SPSS Amos Update Completed</t>
  </si>
  <si>
    <t>For Kelvin Wan SL in M406, SPSS and Amos were updated and rearranged as requested. The software maintenance task was completed successfully.</t>
  </si>
  <si>
    <t>Case Report - M5 Control Room Panel Replacement</t>
  </si>
  <si>
    <t>10 Jul 2026 09:42</t>
  </si>
  <si>
    <t>Case Report - D801 Microphone Preparation</t>
  </si>
  <si>
    <t>D801</t>
  </si>
  <si>
    <t>Microphone Preparation Completed</t>
  </si>
  <si>
    <t>Microphone setup and tuning were performed in D801 together with William. The audio equipment was prepared and adjusted successfully.</t>
  </si>
  <si>
    <t>10 Jul 2026 09:38</t>
  </si>
  <si>
    <t>Case Report - D801 Completed and Shutdown</t>
  </si>
  <si>
    <t>D801 Event Completed</t>
  </si>
  <si>
    <t>Activities in D801 were completed and the equipment/system was powered off after completion.</t>
  </si>
  <si>
    <t>Case Report - M5 Control Room Electrical Replacement</t>
  </si>
  <si>
    <t>2026-07-10 09:15 GMT+8</t>
  </si>
  <si>
    <t>10 Jul 2026 09:18</t>
  </si>
  <si>
    <t>Case Report - D604B PC Replacement</t>
  </si>
  <si>
    <t>2026-07-10 01:15 UTC</t>
  </si>
  <si>
    <t>D604B (3)</t>
  </si>
  <si>
    <t>D604B PC Replacement</t>
  </si>
  <si>
    <t>Louis completed the replacement of the PC at location D604B (3). The new PC was installed and the task was completed.</t>
  </si>
  <si>
    <t>10 Jul 2026 09:17</t>
  </si>
  <si>
    <t>Case Report - CR Gallery Wireless Headset Mic</t>
  </si>
  <si>
    <t>CR Gallery</t>
  </si>
  <si>
    <t>Wireless Headset Mic Testing</t>
  </si>
  <si>
    <t>Wireless headset microphone testing was completed at CR Gallery. Equipment handover was completed after successful testing.</t>
  </si>
  <si>
    <t>Case Report - D6 Network Outage</t>
  </si>
  <si>
    <t>2026-07-10 01:00 UTC</t>
  </si>
  <si>
    <t>10 Jul 2026 09:20</t>
  </si>
  <si>
    <t>2026-07-10 01:15 GMT+8</t>
  </si>
  <si>
    <t>PC Replacement Completed</t>
  </si>
  <si>
    <t>Louis replaced the PC at D604B (3) with a new unit. The replacement was completed successfully.</t>
  </si>
  <si>
    <t>10 Jul 2026 09:35</t>
  </si>
  <si>
    <t>Case Report - 122 Testing</t>
  </si>
  <si>
    <t>Case Report - M5 Control Room Electrical Panel Replacement</t>
  </si>
  <si>
    <t>2026-07-10 12:30:02 GMT+8</t>
  </si>
  <si>
    <t>D528</t>
  </si>
  <si>
    <t>SPSS Update Mouse Replacement</t>
  </si>
  <si>
    <t>For Irina Yu in D528, SPSS was updated and the mouse was replaced. Both software maintenance and hardware replacement tasks were completed successfully.</t>
  </si>
  <si>
    <t>2026-07-10 12:45:00 GMT+8</t>
  </si>
  <si>
    <t>New Staff Briefing Completed</t>
  </si>
  <si>
    <t>A new staff briefing for Katie Li was conducted in M246 and completed successfully.</t>
  </si>
  <si>
    <t>Case Report - D301 Call Center Setup Completed</t>
  </si>
  <si>
    <t>2026-07-10 13:00:00 GMT+8</t>
  </si>
  <si>
    <t>D301</t>
  </si>
  <si>
    <t>Call Center Setup Completed</t>
  </si>
  <si>
    <t>Call center setup in D301 was completed successfully.</t>
  </si>
  <si>
    <t>Case Report - M903 Computer Relocation Completed</t>
  </si>
  <si>
    <t>2026-07-10 13:15:00 GMT+8</t>
  </si>
  <si>
    <t>M903</t>
  </si>
  <si>
    <t>Computer Relocation Completed</t>
  </si>
  <si>
    <t>A computer was relocated from M903 to B103 with assistance from Tony. The relocation task was completed successfully.</t>
  </si>
  <si>
    <t>Case Report - M406 SPSS and AMOS Update</t>
  </si>
  <si>
    <t>2026-07-10 13:30:00 GMT+8</t>
  </si>
  <si>
    <t>SPSS AMOS Update Completed</t>
  </si>
  <si>
    <t>For Kelvin Wan SL in M406, SPSS and AMOS were updated and workstation arrangements were completed.</t>
  </si>
  <si>
    <t>2026-07-10 13:15:01 GMT+8</t>
  </si>
  <si>
    <t>Case Report - A401 Projector No Signal Fixed</t>
  </si>
  <si>
    <t>2026-07-10 19:30:00 GMT+8</t>
  </si>
  <si>
    <t>A401</t>
  </si>
  <si>
    <t>Projector No Signal Fixed</t>
  </si>
  <si>
    <t>A projector in A401 displayed a no-signal condition. The issue was resolved and normal display functionality was restored.</t>
  </si>
  <si>
    <t>Case Report - A413 Microphone Problem Fixed</t>
  </si>
  <si>
    <t>2026-07-10 19:31:00 GMT+8</t>
  </si>
  <si>
    <t>A413</t>
  </si>
  <si>
    <t>Microphone Problem Fixed</t>
  </si>
  <si>
    <t>A microphone issue was reported in A413. The problem was resolved and normal audio functionality was restored.</t>
  </si>
  <si>
    <t>Case Report - D301 Computer Problem Fixed</t>
  </si>
  <si>
    <t>2026-07-10 19:32:00 GMT+8</t>
  </si>
  <si>
    <t>Computer Problem Fixed</t>
  </si>
  <si>
    <t>A computer issue was reported in D301. The problem was resolved and normal computer functionality was restored.</t>
  </si>
  <si>
    <t>Case Report - A313 Audio Problem Fixed</t>
  </si>
  <si>
    <t>2026-07-10 19:33:00 GMT+8</t>
  </si>
  <si>
    <t>A313</t>
  </si>
  <si>
    <t>Audio Problem Fixed</t>
  </si>
  <si>
    <t>An audio issue was reported in A313. The problem was resolved and normal audio functionality was restored.</t>
  </si>
  <si>
    <t>Case Report - A333 Microphone Problem Fixed</t>
  </si>
  <si>
    <t>2026-07-10 19:34:00 GMT+8</t>
  </si>
  <si>
    <t>A333</t>
  </si>
  <si>
    <t>A microphone issue was reported in A333. The problem was resolved and normal audio functionality was restored.</t>
  </si>
  <si>
    <t>Case Report - A112 Projector Problem Fixed</t>
  </si>
  <si>
    <t>2026-07-10 19:35:00 GMT+8</t>
  </si>
  <si>
    <t>A112</t>
  </si>
  <si>
    <t>Projector Problem Fixed</t>
  </si>
  <si>
    <t>A projector issue was reported in A112. The problem was resolved and normal display functionality was restored.</t>
  </si>
  <si>
    <t>Case Report - D302 Projector Problem Fixed</t>
  </si>
  <si>
    <t>2026-07-10 19:36:00 GMT+8</t>
  </si>
  <si>
    <t>D302</t>
  </si>
  <si>
    <t>A projector issue was reported in D302. The problem was resolved by Joeson and normal display functionality was restored.</t>
  </si>
  <si>
    <t>Case Report - D801 Audio Problem Fixed</t>
  </si>
  <si>
    <t>2026-07-10 19:37:00 GMT+8</t>
  </si>
  <si>
    <t>An audio issue was reported in D801. The problem was resolved and normal audio functionality was restored.</t>
  </si>
  <si>
    <t>U-20260710214500</t>
  </si>
  <si>
    <t>Case Report - D801 Event completed</t>
  </si>
  <si>
    <t>2026-07-10 21:45:00 GMT+8</t>
  </si>
  <si>
    <t>Event completed</t>
  </si>
  <si>
    <t>Event support activity at location D801 has been completed.</t>
  </si>
  <si>
    <t>U-20260710134500</t>
  </si>
  <si>
    <t>Case Report - D808 Projector Problem Fixed</t>
  </si>
  <si>
    <t>D808</t>
  </si>
  <si>
    <t>A projector issue was reported in D808. The problem was fixed and normal display functionality was restored.</t>
  </si>
  <si>
    <t>Case Report - D222 Audio Problem Fixed</t>
  </si>
  <si>
    <t>Daniel</t>
  </si>
  <si>
    <t>D222</t>
  </si>
  <si>
    <t>An audio issue was reported in D222. The problem was fixed and normal audio functionality was restored.</t>
  </si>
  <si>
    <t>Case Report - D801 Microphone Issue Fixed</t>
  </si>
  <si>
    <t>2026-07-09 12:56 GMT+8</t>
  </si>
  <si>
    <t>Joeson Li</t>
  </si>
  <si>
    <t>Microphone Issue Fixed</t>
  </si>
  <si>
    <t>A microphone issue was reported in D801. The issue was fixed by Joeson Li. Normal audio functionality was restored.</t>
  </si>
  <si>
    <t>U-20260710134501</t>
  </si>
  <si>
    <t>2026-07-09 12:57 GMT+8</t>
  </si>
  <si>
    <t>U-20260712080000</t>
  </si>
  <si>
    <t>2026-07-12 16:00:00 GMT+8</t>
  </si>
  <si>
    <t>Case Report - A401 Control Panel Fixed</t>
  </si>
  <si>
    <t>Control Panel Fixed</t>
  </si>
  <si>
    <t>A control panel issue was reported in A401. The problem was fixed and normal control panel functionality was restored.</t>
  </si>
  <si>
    <t>U-20260712160001</t>
  </si>
  <si>
    <t>Case Report - A402 Microphone Error Fixed</t>
  </si>
  <si>
    <t>A402</t>
  </si>
  <si>
    <t>Microphone Error Fixed</t>
  </si>
  <si>
    <t>A microphone error was reported in A402. The issue was fixed and normal audio functionality was restored.</t>
  </si>
  <si>
    <t>U-20260715154500</t>
  </si>
  <si>
    <t>2026-07-15 15:45:00 GMT+8</t>
  </si>
  <si>
    <t>Case Report - D201 Microphone problem fixed</t>
  </si>
  <si>
    <t>D201</t>
  </si>
  <si>
    <t>Reported issue with microphone in location D201. The problem has been fixed. No additional symptoms or troubleshooting details were specified.</t>
  </si>
  <si>
    <t>U-20260716083000</t>
  </si>
  <si>
    <t>2026-07-16 08:30:00 GMT+8</t>
  </si>
  <si>
    <t>Case Report - M806 TV problem fixed</t>
  </si>
  <si>
    <t>M806</t>
  </si>
  <si>
    <t>TV problem fixed</t>
  </si>
  <si>
    <t>TV issue reported at location M806. The problem has been indicated as fixed. No additional symptoms, impact details, or troubleshooting information were specified.</t>
  </si>
  <si>
    <t>U-20260717154500</t>
  </si>
  <si>
    <t>2026-07-17 15:45:00 GMT+8</t>
  </si>
  <si>
    <t>Case Report - D801 Light Problem Fixed</t>
  </si>
  <si>
    <t>Light Problem Fixed</t>
  </si>
  <si>
    <t>A lighting issue was reported in D801. The problem was fixed and normal lighting functionality was restored.</t>
  </si>
  <si>
    <t>U-20260715142300</t>
  </si>
  <si>
    <t>2026-07-17 18:00:00 GMT+8</t>
  </si>
  <si>
    <t>Case Report - A404 LED Wall Completed</t>
  </si>
  <si>
    <t>2026-07-15 14:23 GMT+8</t>
  </si>
  <si>
    <t>Danny</t>
  </si>
  <si>
    <t>A404</t>
  </si>
  <si>
    <t>LED Wall Installation Done</t>
  </si>
  <si>
    <t>LED wall work in A404 was reported as completed on 15 Jul at 14:23. The task was completed successfully.</t>
  </si>
  <si>
    <t>U-20260727151500</t>
  </si>
  <si>
    <t>2026-07-27 15:15:00 GMT+8</t>
  </si>
  <si>
    <t>Case Report - M806 TV Problem Fixed</t>
  </si>
  <si>
    <t>TV Problem Fixed</t>
  </si>
  <si>
    <t>A TV display issue was reported in M806. The problem was fixed and normal display functionality was restored.</t>
  </si>
  <si>
    <t>Case Report - N Build Projector Settings Optimization</t>
  </si>
  <si>
    <t>2026-07-22 00:00:00 GMT+8</t>
  </si>
  <si>
    <t>ITSC</t>
  </si>
  <si>
    <t>D 2/4-6 F, N Build</t>
  </si>
  <si>
    <t>Projector Settings Optimization</t>
  </si>
  <si>
    <t>Optimization of projector settings was carried out at D 2/4-6 F, N Build from 22 to 24 July 2026. The request was made by ITSC, handled by Ho, and completed on 24 July 2026. Equipment details were not specified.</t>
  </si>
  <si>
    <t>2026-07-24 00:00:00 GMT+8</t>
  </si>
  <si>
    <t>Projector settings optimization was carried out at D 2/4-6 F, N Build. The work was scheduled in April 2026, performed from 22-24 July 2026, handled by Ho, and completed on 24 July 2026.</t>
  </si>
  <si>
    <t>U-20260727153000</t>
  </si>
  <si>
    <t>Case Report - A - D build Cable Conduits Replacement</t>
  </si>
  <si>
    <t>A - D build</t>
  </si>
  <si>
    <t>Cable Conduits Replacement</t>
  </si>
  <si>
    <t>Replacement of new cable conduits was carried out across A-D buildings. The work was requested by ITSC, scheduled in May 2026, handled by Ho, and completed on 24 July 2026.</t>
  </si>
  <si>
    <t>A control error was reported on the Audio Mixer (Yamaha DM3-D) in Shek Mun Room 3. Ruby will report the case to Nanpeng for follow-up investigation and resolution. The issue is currently being tracked and remains under investigation.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</si>
</sst>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新細明體"/>
      <family val="2"/>
      <scheme val="minor"/>
    </font>
    <font>
      <sz val="11"/>
      <color theme="1"/>
      <name val="Calibri"/>
      <scheme val="minor"/>
    </font>
    <font>
      <sz val="11"/>
      <color theme="1"/>
      <name val="Calibri"/>
      <scheme val="minor"/>
    </font>
    <font>
      <b/>
      <sz val="11"/>
      <color rgb="FFFFFFFF"/>
      <name val="Calibri"/>
    </font>
    <font>
      <b/>
      <sz val="18"/>
      <color rgb="FFFFFFFF"/>
      <name val="Calibri"/>
    </font>
    <font>
      <b/>
      <sz val="16"/>
      <color rgb="FFFFFFFF"/>
      <name val="Calibri"/>
    </font>
    <font>
      <sz val="10"/>
      <color theme="1"/>
      <name val="新細明體"/>
      <family val="2"/>
      <scheme val="minor"/>
    </font>
    <font>
      <b/>
      <sz val="10"/>
      <color rgb="FF1F4E78"/>
      <name val="Aptos"/>
    </font>
    <font>
      <b/>
      <sz val="10"/>
      <color rgb="FFFFFFFF"/>
      <name val="Aptos"/>
    </font>
    <font>
      <sz val="10"/>
      <color theme="1"/>
      <name val="Aptos"/>
    </font>
    <font>
      <sz val="10"/>
      <color theme="1"/>
      <name val="Aptos"/>
      <family val="2"/>
      <scheme val="minor"/>
    </font>
    <font>
      <sz val="10"/>
      <color rgb="FFFF0000"/>
      <name val="Aptos"/>
    </font>
    <font>
      <sz val="10"/>
      <color rgb="FF0400FF"/>
      <name val="Aptos"/>
    </font>
    <font>
      <b/>
      <sz val="11"/>
      <color rgb="FFFFFFFF"/>
      <name val="Calibri"/>
      <scheme val="minor"/>
    </font>
    <font>
      <sz val="10"/>
      <color theme="1"/>
      <name val="Calibri"/>
      <scheme val="minor"/>
    </font>
    <font>
      <sz val="10"/>
      <color rgb="FF0400FF"/>
      <name val="Calibri"/>
      <scheme val="minor"/>
    </font>
    <font>
      <sz val="10"/>
      <color rgb="FFFF0000"/>
      <name val="Calibri"/>
      <scheme val="minor"/>
    </font>
    <font>
      <sz val="10"/>
      <color rgb="FF000000"/>
      <name val="Calibri"/>
      <scheme val="minor"/>
    </font>
    <font>
      <b/>
      <sz val="10"/>
      <color rgb="FFFF0000"/>
      <name val="Calibri"/>
      <scheme val="minor"/>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F2F2F2"/>
      </patternFill>
    </fill>
    <fill>
      <patternFill patternType="solid">
        <fgColor rgb="FFFFF2CC"/>
      </patternFill>
    </fill>
    <fill>
      <patternFill patternType="solid">
        <fgColor rgb="FFC00000"/>
      </patternFill>
    </fill>
    <fill>
      <patternFill patternType="solid">
        <fgColor rgb="FF8064A2"/>
      </patternFill>
    </fill>
  </fills>
  <borders count="2">
    <border>
      <left/>
      <right/>
      <top/>
      <bottom/>
      <diagonal/>
    </border>
    <border>
      <left/>
      <right/>
      <top/>
      <bottom style="thin">
        <color rgb="FFD9D9D9"/>
      </bottom>
      <diagonal/>
    </border>
  </borders>
  <cellStyleXfs count="1">
    <xf numFmtId="0" fontId="0" fillId="0" borderId="0"/>
  </cellStyleXfs>
  <cellXfs count="28">
    <xf numFmtId="0" fontId="0" fillId="0" borderId="0" xfId="0"/>
    <xf numFmtId="0" fontId="3" fillId="2" borderId="1" xfId="0" applyFont="1" applyFill="1" applyBorder="1" applyAlignment="1">
      <alignment horizontal="center" vertical="center" wrapText="1"/>
    </xf>
    <xf numFmtId="0" fontId="6" fillId="0" borderId="1" xfId="0" applyFont="1" applyBorder="1" applyAlignment="1">
      <alignment vertical="top" wrapText="1"/>
    </xf>
    <xf numFmtId="0" fontId="6" fillId="0" borderId="1" xfId="0" applyFont="1" applyBorder="1"/>
    <xf numFmtId="0" fontId="7" fillId="3" borderId="1" xfId="0" applyFont="1" applyFill="1" applyBorder="1" applyAlignment="1">
      <alignment horizontal="center"/>
    </xf>
    <xf numFmtId="0" fontId="7" fillId="0" borderId="1" xfId="0" applyFont="1" applyBorder="1"/>
    <xf numFmtId="0" fontId="8" fillId="2" borderId="1" xfId="0" applyFont="1" applyFill="1" applyBorder="1"/>
    <xf numFmtId="0" fontId="3" fillId="6" borderId="1" xfId="0" applyFont="1" applyFill="1" applyBorder="1" applyAlignment="1">
      <alignment horizontal="center"/>
    </xf>
    <xf numFmtId="0" fontId="8" fillId="7" borderId="1" xfId="0" applyFont="1" applyFill="1" applyBorder="1"/>
    <xf numFmtId="0" fontId="6" fillId="0" borderId="0" xfId="0" applyFont="1" applyAlignment="1">
      <alignment vertical="top" wrapText="1"/>
    </xf>
    <xf numFmtId="0" fontId="0" fillId="4" borderId="1" xfId="0" applyFill="1" applyBorder="1" applyAlignment="1">
      <alignment horizontal="center"/>
    </xf>
    <xf numFmtId="0" fontId="9" fillId="0" borderId="0" xfId="0" applyFont="1" applyAlignment="1">
      <alignment vertical="top" wrapText="1"/>
    </xf>
    <xf numFmtId="0" fontId="10" fillId="0" borderId="1" xfId="0" applyFont="1" applyBorder="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13" fillId="2" borderId="1" xfId="0" applyFont="1" applyFill="1" applyBorder="1" applyAlignment="1">
      <alignment horizontal="center" vertical="center" wrapText="1"/>
    </xf>
    <xf numFmtId="0" fontId="2" fillId="0" borderId="0" xfId="0" applyFont="1"/>
    <xf numFmtId="0" fontId="14" fillId="0" borderId="0" xfId="0" applyFont="1" applyAlignment="1">
      <alignment vertical="top" wrapText="1"/>
    </xf>
    <xf numFmtId="0" fontId="14" fillId="0" borderId="1" xfId="0" applyFont="1" applyBorder="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6" fillId="0" borderId="1" xfId="0" applyFont="1" applyBorder="1" applyAlignment="1">
      <alignment wrapText="1"/>
    </xf>
    <xf numFmtId="0" fontId="6" fillId="5" borderId="1" xfId="0" applyFont="1" applyFill="1" applyBorder="1" applyAlignment="1">
      <alignment vertical="top" wrapText="1"/>
    </xf>
    <xf numFmtId="0" fontId="1" fillId="0" borderId="0" xfId="0" applyFont="1"/>
    <xf numFmtId="0" fontId="4" fillId="2" borderId="1" xfId="0" applyFont="1" applyFill="1" applyBorder="1" applyAlignment="1"/>
    <xf numFmtId="0" fontId="0" fillId="0" borderId="1" xfId="0" applyBorder="1" applyAlignment="1"/>
    <xf numFmtId="0" fontId="6" fillId="0" borderId="1" xfId="0" applyFont="1" applyBorder="1" applyAlignment="1"/>
    <xf numFmtId="0" fontId="5" fillId="7" borderId="1" xfId="0" applyFont="1" applyFill="1" applyBorder="1" applyAlignment="1"/>
  </cellXfs>
  <cellStyles count="1">
    <cellStyle name="Normal" xfId="0" builtinId="0"/>
  </cellStyles>
  <dxfs count="29">
    <dxf>
      <font>
        <b val="0"/>
        <i val="0"/>
        <strike val="0"/>
        <condense val="0"/>
        <extend val="0"/>
        <outline val="0"/>
        <shadow val="0"/>
        <u val="none"/>
        <vertAlign val="baseline"/>
        <sz val="10"/>
        <color theme="1"/>
        <name val="Aptos"/>
        <family val="2"/>
        <scheme val="minor"/>
      </font>
      <alignment horizontal="general"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theme="1"/>
        <name val="Aptos"/>
        <scheme val="none"/>
      </font>
      <alignment horizontal="general" vertical="top" textRotation="0" wrapText="1" indent="0" justifyLastLine="0" shrinkToFit="0" readingOrder="0"/>
    </dxf>
    <dxf>
      <fill>
        <patternFill patternType="solid">
          <fgColor rgb="FFC6EFCE"/>
        </patternFill>
      </fill>
    </dxf>
    <dxf>
      <fill>
        <patternFill patternType="solid">
          <fgColor rgb="FFFFC7CE"/>
        </patternFill>
      </fill>
    </dxf>
    <dxf>
      <font>
        <name val="Calibri"/>
        <scheme val="minor"/>
      </font>
    </dxf>
    <dxf>
      <font>
        <b val="0"/>
        <i val="0"/>
        <strike val="0"/>
        <condense val="0"/>
        <extend val="0"/>
        <outline val="0"/>
        <shadow val="0"/>
        <u val="none"/>
        <vertAlign val="baseline"/>
        <sz val="11"/>
        <color theme="1"/>
        <name val="Calibri"/>
        <scheme val="minor"/>
      </font>
    </dxf>
    <dxf>
      <font>
        <name val="Calibri"/>
        <scheme val="minor"/>
      </font>
    </dxf>
    <dxf>
      <font>
        <b val="0"/>
        <i val="0"/>
        <strike val="0"/>
        <condense val="0"/>
        <extend val="0"/>
        <outline val="0"/>
        <shadow val="0"/>
        <u val="none"/>
        <vertAlign val="baseline"/>
        <sz val="11"/>
        <color theme="1"/>
        <name val="Calibri"/>
        <scheme val="minor"/>
      </font>
    </dxf>
    <dxf>
      <font>
        <name val="Calibri"/>
        <scheme val="minor"/>
      </font>
    </dxf>
    <dxf>
      <font>
        <b val="0"/>
        <i val="0"/>
        <strike val="0"/>
        <condense val="0"/>
        <extend val="0"/>
        <outline val="0"/>
        <shadow val="0"/>
        <u val="none"/>
        <vertAlign val="baseline"/>
        <sz val="11"/>
        <color theme="1"/>
        <name val="Calibri"/>
        <scheme val="minor"/>
      </font>
    </dxf>
    <dxf>
      <font>
        <name val="Calibri"/>
        <scheme val="minor"/>
      </font>
    </dxf>
    <dxf>
      <font>
        <b val="0"/>
        <i val="0"/>
        <strike val="0"/>
        <condense val="0"/>
        <extend val="0"/>
        <outline val="0"/>
        <shadow val="0"/>
        <u val="none"/>
        <vertAlign val="baseline"/>
        <sz val="11"/>
        <color theme="1"/>
        <name val="Calibri"/>
        <scheme val="minor"/>
      </font>
    </dxf>
    <dxf>
      <font>
        <name val="Calibri"/>
        <scheme val="minor"/>
      </font>
    </dxf>
    <dxf>
      <font>
        <b val="0"/>
        <i val="0"/>
        <strike val="0"/>
        <condense val="0"/>
        <extend val="0"/>
        <outline val="0"/>
        <shadow val="0"/>
        <u val="none"/>
        <vertAlign val="baseline"/>
        <sz val="11"/>
        <color theme="1"/>
        <name val="Calibri"/>
        <scheme val="minor"/>
      </font>
    </dxf>
    <dxf>
      <font>
        <name val="Calibri"/>
        <scheme val="minor"/>
      </font>
    </dxf>
    <dxf>
      <font>
        <b val="0"/>
        <i val="0"/>
        <strike val="0"/>
        <condense val="0"/>
        <extend val="0"/>
        <outline val="0"/>
        <shadow val="0"/>
        <u val="none"/>
        <vertAlign val="baseline"/>
        <sz val="11"/>
        <color theme="1"/>
        <name val="Calibri"/>
        <scheme val="minor"/>
      </font>
    </dxf>
    <dxf>
      <font>
        <name val="Calibri"/>
        <scheme val="minor"/>
      </font>
    </dxf>
    <dxf>
      <font>
        <b val="0"/>
        <i val="0"/>
        <strike val="0"/>
        <condense val="0"/>
        <extend val="0"/>
        <outline val="0"/>
        <shadow val="0"/>
        <u val="none"/>
        <vertAlign val="baseline"/>
        <sz val="11"/>
        <color theme="1"/>
        <name val="Calibri"/>
        <scheme val="minor"/>
      </font>
    </dxf>
    <dxf>
      <font>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0"/>
        <color theme="1"/>
        <name val="Calibri"/>
        <scheme val="minor"/>
      </font>
      <alignment horizontal="general"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0"/>
        <color theme="1"/>
        <name val="Calibri"/>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scheme val="minor"/>
      </font>
    </dxf>
    <dxf>
      <font>
        <name val="Calibri"/>
        <scheme val="minor"/>
      </font>
    </dxf>
    <dxf>
      <font>
        <name val="Calibri"/>
        <scheme val="minor"/>
      </font>
    </dxf>
    <dxf>
      <font>
        <name val="Calibri"/>
        <scheme val="minor"/>
      </font>
    </dxf>
    <dxf>
      <fill>
        <patternFill patternType="solid">
          <fgColor rgb="FFC6EFCE"/>
        </patternFill>
      </fill>
    </dxf>
    <dxf>
      <fill>
        <patternFill patternType="solid">
          <fgColor rgb="FFFFC7CE"/>
        </patternFill>
      </fill>
    </dxf>
  </dxfs>
  <tableStyles count="0" defaultTableStyle="TableStyleMedium9" defaultPivotStyle="PivotStyleLight16"/>
  <colors>
    <mruColors>
      <color rgb="FF04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Case Status Count</a:t>
            </a:r>
          </a:p>
        </c:rich>
      </c:tx>
      <c:overlay val="1"/>
    </c:title>
    <c:autoTitleDeleted val="0"/>
    <c:plotArea>
      <c:layout/>
      <c:barChart>
        <c:barDir val="col"/>
        <c:grouping val="clustered"/>
        <c:varyColors val="1"/>
        <c:ser>
          <c:idx val="0"/>
          <c:order val="0"/>
          <c:tx>
            <c:strRef>
              <c:f>'Executive Summary'!B9</c:f>
              <c:strCache>
                <c:ptCount val="1"/>
                <c:pt idx="0">
                  <c:v>Count</c:v>
                </c:pt>
              </c:strCache>
            </c:strRef>
          </c:tx>
          <c:spPr>
            <a:ln>
              <a:prstDash val="solid"/>
            </a:ln>
          </c:spPr>
          <c:invertIfNegative val="1"/>
          <c:cat>
            <c:strRef>
              <c:f>'Executive Summary'!$A$10:$A$11</c:f>
              <c:strCache>
                <c:ptCount val="2"/>
                <c:pt idx="0">
                  <c:v>Open</c:v>
                </c:pt>
                <c:pt idx="1">
                  <c:v>Resolved</c:v>
                </c:pt>
              </c:strCache>
            </c:strRef>
          </c:cat>
          <c:val>
            <c:numRef>
              <c:f>'Executive Summary'!$B$10:$B$11</c:f>
              <c:numCache>
                <c:formatCode>General</c:formatCode>
                <c:ptCount val="2"/>
                <c:pt idx="0">
                  <c:v>0</c:v>
                </c:pt>
                <c:pt idx="1">
                  <c:v>3</c:v>
                </c:pt>
              </c:numCache>
            </c:numRef>
          </c:val>
          <c:extLst>
            <c:ext xmlns:c16="http://schemas.microsoft.com/office/drawing/2014/chart" uri="{C3380CC4-5D6E-409C-BE32-E72D297353CC}">
              <c16:uniqueId val="{00000000-182C-4D8F-AB04-7EF2CE97DA7A}"/>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Status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Count</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Category Distribution</a:t>
            </a:r>
          </a:p>
        </c:rich>
      </c:tx>
      <c:overlay val="1"/>
    </c:title>
    <c:autoTitleDeleted val="0"/>
    <c:plotArea>
      <c:layout/>
      <c:pieChart>
        <c:varyColors val="1"/>
        <c:ser>
          <c:idx val="0"/>
          <c:order val="0"/>
          <c:tx>
            <c:strRef>
              <c:f>'Executive Summary'!E9</c:f>
              <c:strCache>
                <c:ptCount val="1"/>
                <c:pt idx="0">
                  <c:v>Count</c:v>
                </c:pt>
              </c:strCache>
            </c:strRef>
          </c:tx>
          <c:spPr>
            <a:ln>
              <a:prstDash val="solid"/>
            </a:ln>
          </c:spPr>
          <c:cat>
            <c:strRef>
              <c:f>'Executive Summary'!$D$10:$D$16</c:f>
              <c:strCache>
                <c:ptCount val="7"/>
                <c:pt idx="0">
                  <c:v>Classroom - Display</c:v>
                </c:pt>
                <c:pt idx="1">
                  <c:v>Event support</c:v>
                </c:pt>
                <c:pt idx="2">
                  <c:v>Event support / Rehearsal</c:v>
                </c:pt>
                <c:pt idx="3">
                  <c:v>Not specified</c:v>
                </c:pt>
                <c:pt idx="4">
                  <c:v>PC Hardware</c:v>
                </c:pt>
                <c:pt idx="5">
                  <c:v>Power Failure</c:v>
                </c:pt>
                <c:pt idx="6">
                  <c:v>Source Reference</c:v>
                </c:pt>
              </c:strCache>
            </c:strRef>
          </c:cat>
          <c:val>
            <c:numRef>
              <c:f>'Executive Summary'!$E$10:$E$16</c:f>
              <c:numCache>
                <c:formatCode>General</c:formatCode>
                <c:ptCount val="7"/>
                <c:pt idx="0">
                  <c:v>2</c:v>
                </c:pt>
                <c:pt idx="1">
                  <c:v>3</c:v>
                </c:pt>
                <c:pt idx="2">
                  <c:v>1</c:v>
                </c:pt>
                <c:pt idx="3">
                  <c:v>5</c:v>
                </c:pt>
                <c:pt idx="4">
                  <c:v>1</c:v>
                </c:pt>
                <c:pt idx="5">
                  <c:v>1</c:v>
                </c:pt>
                <c:pt idx="6">
                  <c:v>3</c:v>
                </c:pt>
              </c:numCache>
            </c:numRef>
          </c:val>
          <c:extLst>
            <c:ext xmlns:c16="http://schemas.microsoft.com/office/drawing/2014/chart" uri="{C3380CC4-5D6E-409C-BE32-E72D297353CC}">
              <c16:uniqueId val="{00000000-6AA3-4C2E-B885-724EAEDC2602}"/>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0</xdr:colOff>
      <xdr:row>3</xdr:row>
      <xdr:rowOff>0</xdr:rowOff>
    </xdr:from>
    <xdr:ext cx="3240000" cy="252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0</xdr:colOff>
      <xdr:row>17</xdr:row>
      <xdr:rowOff>0</xdr:rowOff>
    </xdr:from>
    <xdr:ext cx="3240000" cy="3240000"/>
    <xdr:graphicFrame macro="">
      <xdr:nvGraphicFramePr>
        <xdr:cNvPr id="3" name="Chart 2">
          <a:extLst>
            <a:ext uri="{FF2B5EF4-FFF2-40B4-BE49-F238E27FC236}">
              <a16:creationId xmlns:a16="http://schemas.microsoft.com/office/drawing/2014/main" id="{00000000-0008-0000-0100-000003000000}"/>
            </a:ext>
            <a:ext uri="{147F2762-F138-4A5C-976F-8EAC2B608ADB}">
              <a16:predDERef xmlns:a16="http://schemas.microsoft.com/office/drawing/2014/main" pre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836D8EF-412B-46A0-8C66-E2DDE3762749}">
    <nsvFilter filterId="{00000000-0009-0000-0100-000001000000}" ref="A1:J28" tableId="1">
      <columnFilter colId="8" id="{00000000-0010-0000-0000-000008000000}">
        <filter colId="8">
          <x:filters>
            <x:filter val="In Progress"/>
            <x:filter val="Observation"/>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A05719B-B29E-4A05-AA2F-58E0B78A9628}">
    <nsvFilter filterId="{00000000-0009-0000-0100-000001000000}" ref="A1:J69" tableId="3">
      <columnFilter colId="8" id="{9B5E5D1D-A2CA-42BB-A3CC-729C4A8A9E67}">
        <filter colId="8">
          <x:filters>
            <x:filter val="In Progress"/>
            <x:filter val="Observation"/>
          </x:filters>
        </filter>
      </columnFilter>
    </nsvFilter>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seReportTable" displayName="CaseReportTable" ref="A1:J29" totalsRowCount="1" headerRowDxfId="26" dataDxfId="25" totalsRowDxfId="24">
  <autoFilter ref="A1:J28" xr:uid="{00000000-0009-0000-0100-000001000000}"/>
  <tableColumns count="10">
    <tableColumn id="1" xr3:uid="{00000000-0010-0000-0000-000001000000}" name="Case ID" dataDxfId="22" totalsRowDxfId="23"/>
    <tableColumn id="12" xr3:uid="{4D2D0F70-5F7C-4E5B-B586-E7A895BA2517}" name="Received Time" dataDxfId="20" totalsRowDxfId="21"/>
    <tableColumn id="2" xr3:uid="{00000000-0010-0000-0000-000002000000}" name="Subject" dataDxfId="18" totalsRowDxfId="19"/>
    <tableColumn id="3" xr3:uid="{00000000-0010-0000-0000-000003000000}" name="Reported Date/Time" dataDxfId="16" totalsRowDxfId="17"/>
    <tableColumn id="4" xr3:uid="{00000000-0010-0000-0000-000004000000}" name="Reported By" dataDxfId="14" totalsRowDxfId="15"/>
    <tableColumn id="5" xr3:uid="{00000000-0010-0000-0000-000005000000}" name="Location" dataDxfId="12" totalsRowDxfId="13"/>
    <tableColumn id="6" xr3:uid="{00000000-0010-0000-0000-000006000000}" name="Category" dataDxfId="10" totalsRowDxfId="11"/>
    <tableColumn id="7" xr3:uid="{00000000-0010-0000-0000-000007000000}" name="Case Title" dataDxfId="8" totalsRowDxfId="9"/>
    <tableColumn id="8" xr3:uid="{00000000-0010-0000-0000-000008000000}" name="Status" dataDxfId="6" totalsRowDxfId="7"/>
    <tableColumn id="10" xr3:uid="{00000000-0010-0000-0000-00000A000000}" name="Case Description" dataDxfId="4" totalsRow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penCaseTable" displayName="OpenCaseTable" ref="A1:G8">
  <autoFilter ref="A1:G8" xr:uid="{00000000-0009-0000-0100-000002000000}"/>
  <tableColumns count="7">
    <tableColumn id="1" xr3:uid="{00000000-0010-0000-0100-000001000000}" name="Received Time"/>
    <tableColumn id="2" xr3:uid="{00000000-0010-0000-0100-000002000000}" name="Location"/>
    <tableColumn id="3" xr3:uid="{00000000-0010-0000-0100-000003000000}" name="Category"/>
    <tableColumn id="4" xr3:uid="{00000000-0010-0000-0100-000004000000}" name="Case Title"/>
    <tableColumn id="5" xr3:uid="{00000000-0010-0000-0100-000005000000}" name="Description"/>
    <tableColumn id="6" xr3:uid="{00000000-0010-0000-0100-000006000000}" name="Read State"/>
    <tableColumn id="7" xr3:uid="{00000000-0010-0000-0100-000007000000}" name="Source Reference"/>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EBA680-7B68-4B1B-904C-F7E51A6F4879}" name="CaseReportTable4" displayName="CaseReportTable4" ref="A1:J70" totalsRowCount="1">
  <autoFilter ref="A1:J69" xr:uid="{00000000-0009-0000-0100-000001000000}"/>
  <tableColumns count="10">
    <tableColumn id="1" xr3:uid="{E2C887B5-75C4-4A85-8FE3-389A98D1CD9F}" name="Case ID" dataDxfId="1"/>
    <tableColumn id="12" xr3:uid="{5F95141F-6421-460F-B373-824D3CE0C755}" name="Received Time" dataDxfId="0"/>
    <tableColumn id="2" xr3:uid="{2FCCD65C-D164-4DF2-887A-845AC7575673}" name="Subject"/>
    <tableColumn id="3" xr3:uid="{DAC2634A-DD5B-43C2-B08A-1B3B33114D91}" name="Reported Date/Time"/>
    <tableColumn id="4" xr3:uid="{5B39E72C-355E-4FAA-9F60-55FD97B7D0AB}" name="Reported By"/>
    <tableColumn id="5" xr3:uid="{A4701C30-FDE2-4139-9BB0-29A1C8971F41}" name="Location"/>
    <tableColumn id="6" xr3:uid="{2E0C2A2D-D379-454D-85E7-44044CCC49B9}" name="Category"/>
    <tableColumn id="7" xr3:uid="{01C8EFBF-8D4B-4927-8AEC-E7E9D853353E}" name="Case Title"/>
    <tableColumn id="8" xr3:uid="{9B5E5D1D-A2CA-42BB-A3CC-729C4A8A9E67}" name="Status"/>
    <tableColumn id="10" xr3:uid="{C5082B68-C871-44FD-AC1D-4E29853A0D5C}" name="Case 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showGridLines="0" tabSelected="1" topLeftCell="H1" workbookViewId="0">
      <pane ySplit="1" topLeftCell="A21" activePane="bottomLeft" state="frozen"/>
      <selection pane="bottomLeft" activeCell="I28" sqref="I28"/>
      <selection activeCell="G1" sqref="G1"/>
    </sheetView>
  </sheetViews>
  <sheetFormatPr defaultRowHeight="15"/>
  <cols>
    <col min="1" max="2" width="18" style="16" customWidth="1"/>
    <col min="3" max="3" width="42" style="16" customWidth="1"/>
    <col min="4" max="4" width="22" style="16" customWidth="1"/>
    <col min="5" max="5" width="20" style="16" customWidth="1"/>
    <col min="6" max="6" width="18" style="16" customWidth="1"/>
    <col min="7" max="7" width="24" style="16" customWidth="1"/>
    <col min="8" max="8" width="32" style="16" customWidth="1"/>
    <col min="9" max="9" width="12" style="16" customWidth="1"/>
    <col min="10" max="10" width="80" style="16" customWidth="1"/>
    <col min="11" max="16384" width="9.140625" style="16"/>
  </cols>
  <sheetData>
    <row r="1" spans="1:10" ht="24" customHeight="1">
      <c r="A1" s="15" t="s">
        <v>0</v>
      </c>
      <c r="B1" s="15" t="s">
        <v>1</v>
      </c>
      <c r="C1" s="15" t="s">
        <v>2</v>
      </c>
      <c r="D1" s="15" t="s">
        <v>3</v>
      </c>
      <c r="E1" s="15" t="s">
        <v>4</v>
      </c>
      <c r="F1" s="15" t="s">
        <v>5</v>
      </c>
      <c r="G1" s="15" t="s">
        <v>6</v>
      </c>
      <c r="H1" s="15" t="s">
        <v>7</v>
      </c>
      <c r="I1" s="15" t="s">
        <v>8</v>
      </c>
      <c r="J1" s="15" t="s">
        <v>9</v>
      </c>
    </row>
    <row r="2" spans="1:10" ht="27">
      <c r="A2" s="17" t="s">
        <v>10</v>
      </c>
      <c r="B2" s="18" t="s">
        <v>11</v>
      </c>
      <c r="C2" s="17" t="s">
        <v>12</v>
      </c>
      <c r="D2" s="17" t="s">
        <v>11</v>
      </c>
      <c r="E2" s="17" t="s">
        <v>13</v>
      </c>
      <c r="F2" s="17" t="s">
        <v>14</v>
      </c>
      <c r="G2" s="17" t="s">
        <v>15</v>
      </c>
      <c r="H2" s="17" t="s">
        <v>16</v>
      </c>
      <c r="I2" s="17" t="s">
        <v>17</v>
      </c>
      <c r="J2" s="17" t="s">
        <v>18</v>
      </c>
    </row>
    <row r="3" spans="1:10" ht="27">
      <c r="A3" s="17" t="s">
        <v>19</v>
      </c>
      <c r="B3" s="18" t="s">
        <v>20</v>
      </c>
      <c r="C3" s="17" t="s">
        <v>21</v>
      </c>
      <c r="D3" s="17" t="s">
        <v>22</v>
      </c>
      <c r="E3" s="17" t="s">
        <v>23</v>
      </c>
      <c r="F3" s="17" t="s">
        <v>24</v>
      </c>
      <c r="G3" s="17" t="s">
        <v>15</v>
      </c>
      <c r="H3" s="17" t="s">
        <v>25</v>
      </c>
      <c r="I3" s="19" t="s">
        <v>26</v>
      </c>
      <c r="J3" s="17" t="s">
        <v>27</v>
      </c>
    </row>
    <row r="4" spans="1:10" ht="27">
      <c r="A4" s="17" t="s">
        <v>28</v>
      </c>
      <c r="B4" s="18" t="s">
        <v>29</v>
      </c>
      <c r="C4" s="17" t="s">
        <v>30</v>
      </c>
      <c r="D4" s="17" t="s">
        <v>29</v>
      </c>
      <c r="E4" s="17" t="s">
        <v>31</v>
      </c>
      <c r="F4" s="17" t="s">
        <v>32</v>
      </c>
      <c r="G4" s="17" t="s">
        <v>33</v>
      </c>
      <c r="H4" s="17" t="s">
        <v>34</v>
      </c>
      <c r="I4" s="17" t="s">
        <v>35</v>
      </c>
      <c r="J4" s="17" t="s">
        <v>36</v>
      </c>
    </row>
    <row r="5" spans="1:10" ht="27">
      <c r="A5" s="17" t="s">
        <v>28</v>
      </c>
      <c r="B5" s="18" t="s">
        <v>29</v>
      </c>
      <c r="C5" s="17" t="s">
        <v>37</v>
      </c>
      <c r="D5" s="17" t="s">
        <v>29</v>
      </c>
      <c r="E5" s="17" t="s">
        <v>23</v>
      </c>
      <c r="F5" s="17" t="s">
        <v>38</v>
      </c>
      <c r="G5" s="17" t="s">
        <v>39</v>
      </c>
      <c r="H5" s="17" t="s">
        <v>40</v>
      </c>
      <c r="I5" s="17" t="s">
        <v>35</v>
      </c>
      <c r="J5" s="17" t="s">
        <v>41</v>
      </c>
    </row>
    <row r="6" spans="1:10" ht="27">
      <c r="A6" s="17" t="s">
        <v>42</v>
      </c>
      <c r="B6" s="18" t="s">
        <v>43</v>
      </c>
      <c r="C6" s="17" t="s">
        <v>44</v>
      </c>
      <c r="D6" s="17" t="s">
        <v>43</v>
      </c>
      <c r="E6" s="17" t="s">
        <v>45</v>
      </c>
      <c r="F6" s="17" t="s">
        <v>46</v>
      </c>
      <c r="G6" s="17" t="s">
        <v>47</v>
      </c>
      <c r="H6" s="17" t="s">
        <v>48</v>
      </c>
      <c r="I6" s="20" t="s">
        <v>49</v>
      </c>
      <c r="J6" s="17" t="s">
        <v>50</v>
      </c>
    </row>
    <row r="7" spans="1:10" ht="27">
      <c r="A7" s="17" t="s">
        <v>42</v>
      </c>
      <c r="B7" s="18" t="s">
        <v>43</v>
      </c>
      <c r="C7" s="17" t="s">
        <v>51</v>
      </c>
      <c r="D7" s="17" t="s">
        <v>43</v>
      </c>
      <c r="E7" s="17" t="s">
        <v>52</v>
      </c>
      <c r="F7" s="17" t="s">
        <v>53</v>
      </c>
      <c r="G7" s="17" t="s">
        <v>39</v>
      </c>
      <c r="H7" s="17" t="s">
        <v>54</v>
      </c>
      <c r="I7" s="17" t="s">
        <v>35</v>
      </c>
      <c r="J7" s="17" t="s">
        <v>55</v>
      </c>
    </row>
    <row r="8" spans="1:10" ht="27">
      <c r="A8" s="17" t="s">
        <v>56</v>
      </c>
      <c r="B8" s="18" t="s">
        <v>57</v>
      </c>
      <c r="C8" s="17" t="s">
        <v>58</v>
      </c>
      <c r="D8" s="17" t="s">
        <v>57</v>
      </c>
      <c r="E8" s="17" t="s">
        <v>59</v>
      </c>
      <c r="F8" s="17" t="s">
        <v>60</v>
      </c>
      <c r="G8" s="17" t="s">
        <v>61</v>
      </c>
      <c r="H8" s="17" t="s">
        <v>62</v>
      </c>
      <c r="I8" s="17" t="s">
        <v>35</v>
      </c>
      <c r="J8" s="17" t="s">
        <v>63</v>
      </c>
    </row>
    <row r="9" spans="1:10" ht="27">
      <c r="A9" s="17" t="s">
        <v>64</v>
      </c>
      <c r="B9" s="18" t="s">
        <v>65</v>
      </c>
      <c r="C9" s="17" t="s">
        <v>66</v>
      </c>
      <c r="D9" s="17" t="s">
        <v>65</v>
      </c>
      <c r="E9" s="17" t="s">
        <v>13</v>
      </c>
      <c r="F9" s="17" t="s">
        <v>67</v>
      </c>
      <c r="G9" s="17" t="s">
        <v>33</v>
      </c>
      <c r="H9" s="17" t="s">
        <v>68</v>
      </c>
      <c r="I9" s="20" t="s">
        <v>49</v>
      </c>
      <c r="J9" s="17" t="s">
        <v>69</v>
      </c>
    </row>
    <row r="10" spans="1:10" ht="40.5">
      <c r="A10" s="17" t="s">
        <v>70</v>
      </c>
      <c r="B10" s="18" t="s">
        <v>71</v>
      </c>
      <c r="C10" s="17" t="s">
        <v>72</v>
      </c>
      <c r="D10" s="17" t="s">
        <v>71</v>
      </c>
      <c r="E10" s="17" t="s">
        <v>59</v>
      </c>
      <c r="F10" s="17" t="s">
        <v>46</v>
      </c>
      <c r="G10" s="17" t="s">
        <v>33</v>
      </c>
      <c r="H10" s="17" t="s">
        <v>73</v>
      </c>
      <c r="I10" s="17" t="s">
        <v>35</v>
      </c>
      <c r="J10" s="17" t="s">
        <v>74</v>
      </c>
    </row>
    <row r="11" spans="1:10" ht="27">
      <c r="A11" s="17" t="s">
        <v>75</v>
      </c>
      <c r="B11" s="18" t="s">
        <v>76</v>
      </c>
      <c r="C11" s="17" t="s">
        <v>77</v>
      </c>
      <c r="D11" s="17" t="s">
        <v>76</v>
      </c>
      <c r="E11" s="17" t="s">
        <v>59</v>
      </c>
      <c r="F11" s="17" t="s">
        <v>46</v>
      </c>
      <c r="G11" s="17" t="s">
        <v>47</v>
      </c>
      <c r="H11" s="17" t="s">
        <v>78</v>
      </c>
      <c r="I11" s="17" t="s">
        <v>35</v>
      </c>
      <c r="J11" s="17" t="s">
        <v>79</v>
      </c>
    </row>
    <row r="12" spans="1:10" ht="27">
      <c r="A12" s="17" t="s">
        <v>80</v>
      </c>
      <c r="B12" s="18" t="s">
        <v>81</v>
      </c>
      <c r="C12" s="17" t="s">
        <v>82</v>
      </c>
      <c r="D12" s="17" t="s">
        <v>81</v>
      </c>
      <c r="E12" s="17" t="s">
        <v>13</v>
      </c>
      <c r="F12" s="17" t="s">
        <v>83</v>
      </c>
      <c r="G12" s="17" t="s">
        <v>47</v>
      </c>
      <c r="H12" s="17" t="s">
        <v>84</v>
      </c>
      <c r="I12" s="17" t="s">
        <v>35</v>
      </c>
      <c r="J12" s="17" t="s">
        <v>85</v>
      </c>
    </row>
    <row r="13" spans="1:10" ht="27">
      <c r="A13" s="17" t="s">
        <v>86</v>
      </c>
      <c r="B13" s="18" t="s">
        <v>87</v>
      </c>
      <c r="C13" s="17" t="s">
        <v>88</v>
      </c>
      <c r="D13" s="17" t="s">
        <v>87</v>
      </c>
      <c r="E13" s="17" t="s">
        <v>13</v>
      </c>
      <c r="F13" s="17" t="s">
        <v>89</v>
      </c>
      <c r="G13" s="17" t="s">
        <v>47</v>
      </c>
      <c r="H13" s="17" t="s">
        <v>90</v>
      </c>
      <c r="I13" s="20" t="s">
        <v>49</v>
      </c>
      <c r="J13" s="17" t="s">
        <v>91</v>
      </c>
    </row>
    <row r="14" spans="1:10" ht="53.25">
      <c r="A14" s="17" t="s">
        <v>92</v>
      </c>
      <c r="B14" s="18" t="s">
        <v>87</v>
      </c>
      <c r="C14" s="17" t="s">
        <v>93</v>
      </c>
      <c r="D14" s="17" t="s">
        <v>87</v>
      </c>
      <c r="E14" s="17" t="s">
        <v>13</v>
      </c>
      <c r="F14" s="17" t="s">
        <v>94</v>
      </c>
      <c r="G14" s="17" t="s">
        <v>47</v>
      </c>
      <c r="H14" s="17" t="s">
        <v>95</v>
      </c>
      <c r="I14" s="17" t="s">
        <v>35</v>
      </c>
      <c r="J14" s="17" t="s">
        <v>96</v>
      </c>
    </row>
    <row r="15" spans="1:10" ht="40.5">
      <c r="A15" s="17" t="s">
        <v>97</v>
      </c>
      <c r="B15" s="18" t="s">
        <v>98</v>
      </c>
      <c r="C15" s="17" t="s">
        <v>99</v>
      </c>
      <c r="D15" s="17" t="s">
        <v>98</v>
      </c>
      <c r="E15" s="17" t="s">
        <v>13</v>
      </c>
      <c r="F15" s="17" t="s">
        <v>89</v>
      </c>
      <c r="G15" s="17" t="s">
        <v>47</v>
      </c>
      <c r="H15" s="17" t="s">
        <v>100</v>
      </c>
      <c r="I15" s="17" t="s">
        <v>35</v>
      </c>
      <c r="J15" s="17" t="s">
        <v>101</v>
      </c>
    </row>
    <row r="16" spans="1:10" ht="88.5" customHeight="1">
      <c r="A16" s="17" t="s">
        <v>102</v>
      </c>
      <c r="B16" s="18" t="s">
        <v>103</v>
      </c>
      <c r="C16" s="17" t="s">
        <v>104</v>
      </c>
      <c r="D16" s="17" t="s">
        <v>103</v>
      </c>
      <c r="E16" s="17" t="s">
        <v>13</v>
      </c>
      <c r="F16" s="17" t="s">
        <v>105</v>
      </c>
      <c r="G16" s="17" t="s">
        <v>47</v>
      </c>
      <c r="H16" s="17" t="s">
        <v>106</v>
      </c>
      <c r="I16" s="17" t="s">
        <v>35</v>
      </c>
      <c r="J16" s="17" t="s">
        <v>107</v>
      </c>
    </row>
    <row r="17" spans="1:10" ht="94.5">
      <c r="A17" s="17" t="s">
        <v>108</v>
      </c>
      <c r="B17" s="18" t="s">
        <v>109</v>
      </c>
      <c r="C17" s="17" t="s">
        <v>110</v>
      </c>
      <c r="D17" s="17" t="s">
        <v>109</v>
      </c>
      <c r="E17" s="17" t="s">
        <v>13</v>
      </c>
      <c r="F17" s="17" t="s">
        <v>111</v>
      </c>
      <c r="G17" s="17" t="s">
        <v>15</v>
      </c>
      <c r="H17" s="17" t="s">
        <v>112</v>
      </c>
      <c r="I17" s="20" t="s">
        <v>49</v>
      </c>
      <c r="J17" s="17" t="s">
        <v>113</v>
      </c>
    </row>
    <row r="18" spans="1:10" ht="27">
      <c r="A18" s="17" t="s">
        <v>114</v>
      </c>
      <c r="B18" s="18" t="s">
        <v>115</v>
      </c>
      <c r="C18" s="17" t="s">
        <v>116</v>
      </c>
      <c r="D18" s="17" t="s">
        <v>115</v>
      </c>
      <c r="E18" s="17" t="s">
        <v>13</v>
      </c>
      <c r="F18" s="17" t="s">
        <v>89</v>
      </c>
      <c r="G18" s="17" t="s">
        <v>33</v>
      </c>
      <c r="H18" s="17" t="s">
        <v>117</v>
      </c>
      <c r="I18" s="20" t="s">
        <v>49</v>
      </c>
      <c r="J18" s="17" t="s">
        <v>118</v>
      </c>
    </row>
    <row r="19" spans="1:10" ht="40.5">
      <c r="A19" s="17" t="s">
        <v>119</v>
      </c>
      <c r="B19" s="18" t="s">
        <v>120</v>
      </c>
      <c r="C19" s="17" t="s">
        <v>121</v>
      </c>
      <c r="D19" s="17" t="s">
        <v>120</v>
      </c>
      <c r="E19" s="17" t="s">
        <v>13</v>
      </c>
      <c r="F19" s="17" t="s">
        <v>122</v>
      </c>
      <c r="G19" s="17" t="s">
        <v>123</v>
      </c>
      <c r="H19" s="17" t="s">
        <v>124</v>
      </c>
      <c r="I19" s="20" t="s">
        <v>49</v>
      </c>
      <c r="J19" s="17" t="s">
        <v>125</v>
      </c>
    </row>
    <row r="20" spans="1:10" ht="57.75" customHeight="1">
      <c r="A20" s="17" t="s">
        <v>126</v>
      </c>
      <c r="B20" s="18" t="s">
        <v>127</v>
      </c>
      <c r="C20" s="17" t="s">
        <v>128</v>
      </c>
      <c r="D20" s="17" t="s">
        <v>127</v>
      </c>
      <c r="E20" s="17" t="s">
        <v>13</v>
      </c>
      <c r="F20" s="17" t="s">
        <v>122</v>
      </c>
      <c r="G20" s="17" t="s">
        <v>47</v>
      </c>
      <c r="H20" s="17" t="s">
        <v>129</v>
      </c>
      <c r="I20" s="19" t="s">
        <v>26</v>
      </c>
      <c r="J20" s="17" t="s">
        <v>130</v>
      </c>
    </row>
    <row r="21" spans="1:10" ht="40.5">
      <c r="A21" s="17" t="s">
        <v>131</v>
      </c>
      <c r="B21" s="18" t="s">
        <v>132</v>
      </c>
      <c r="C21" s="17" t="s">
        <v>133</v>
      </c>
      <c r="D21" s="17" t="s">
        <v>132</v>
      </c>
      <c r="E21" s="17" t="s">
        <v>13</v>
      </c>
      <c r="F21" s="17" t="s">
        <v>122</v>
      </c>
      <c r="G21" s="17" t="s">
        <v>47</v>
      </c>
      <c r="H21" s="17" t="s">
        <v>134</v>
      </c>
      <c r="I21" s="19" t="s">
        <v>26</v>
      </c>
      <c r="J21" s="17" t="s">
        <v>135</v>
      </c>
    </row>
    <row r="22" spans="1:10" ht="40.5">
      <c r="A22" s="17" t="s">
        <v>136</v>
      </c>
      <c r="B22" s="18" t="s">
        <v>137</v>
      </c>
      <c r="C22" s="17" t="s">
        <v>138</v>
      </c>
      <c r="D22" s="17" t="s">
        <v>137</v>
      </c>
      <c r="E22" s="17" t="s">
        <v>13</v>
      </c>
      <c r="F22" s="17" t="s">
        <v>105</v>
      </c>
      <c r="G22" s="17" t="s">
        <v>47</v>
      </c>
      <c r="H22" s="17" t="s">
        <v>139</v>
      </c>
      <c r="I22" s="19" t="s">
        <v>26</v>
      </c>
      <c r="J22" s="17" t="s">
        <v>140</v>
      </c>
    </row>
    <row r="23" spans="1:10" ht="27">
      <c r="A23" s="17" t="s">
        <v>141</v>
      </c>
      <c r="B23" s="18" t="s">
        <v>142</v>
      </c>
      <c r="C23" s="17" t="s">
        <v>143</v>
      </c>
      <c r="D23" s="17" t="s">
        <v>142</v>
      </c>
      <c r="E23" s="17" t="s">
        <v>13</v>
      </c>
      <c r="F23" s="17" t="s">
        <v>122</v>
      </c>
      <c r="G23" s="17" t="s">
        <v>47</v>
      </c>
      <c r="H23" s="17" t="s">
        <v>144</v>
      </c>
      <c r="I23" s="19" t="s">
        <v>26</v>
      </c>
      <c r="J23" s="17" t="s">
        <v>145</v>
      </c>
    </row>
    <row r="24" spans="1:10" ht="61.5" customHeight="1">
      <c r="A24" s="17" t="s">
        <v>146</v>
      </c>
      <c r="B24" s="18" t="s">
        <v>147</v>
      </c>
      <c r="C24" s="17" t="s">
        <v>148</v>
      </c>
      <c r="D24" s="17" t="s">
        <v>147</v>
      </c>
      <c r="E24" s="17" t="s">
        <v>13</v>
      </c>
      <c r="F24" s="17" t="s">
        <v>149</v>
      </c>
      <c r="G24" s="17" t="s">
        <v>47</v>
      </c>
      <c r="H24" s="17" t="s">
        <v>150</v>
      </c>
      <c r="I24" s="19" t="s">
        <v>17</v>
      </c>
      <c r="J24" s="17" t="s">
        <v>151</v>
      </c>
    </row>
    <row r="25" spans="1:10" ht="40.5">
      <c r="A25" s="17" t="s">
        <v>152</v>
      </c>
      <c r="B25" s="18" t="s">
        <v>153</v>
      </c>
      <c r="C25" s="17" t="s">
        <v>154</v>
      </c>
      <c r="D25" s="17" t="s">
        <v>153</v>
      </c>
      <c r="E25" s="17" t="s">
        <v>13</v>
      </c>
      <c r="F25" s="17" t="s">
        <v>155</v>
      </c>
      <c r="G25" s="17" t="s">
        <v>47</v>
      </c>
      <c r="H25" s="17" t="s">
        <v>156</v>
      </c>
      <c r="I25" s="19" t="s">
        <v>17</v>
      </c>
      <c r="J25" s="17" t="s">
        <v>157</v>
      </c>
    </row>
    <row r="26" spans="1:10" ht="78" customHeight="1">
      <c r="A26" s="17" t="s">
        <v>158</v>
      </c>
      <c r="B26" s="18" t="s">
        <v>159</v>
      </c>
      <c r="C26" s="17" t="s">
        <v>160</v>
      </c>
      <c r="D26" s="17" t="s">
        <v>159</v>
      </c>
      <c r="E26" s="17" t="s">
        <v>13</v>
      </c>
      <c r="F26" s="17" t="s">
        <v>122</v>
      </c>
      <c r="G26" s="17" t="s">
        <v>47</v>
      </c>
      <c r="H26" s="17" t="s">
        <v>161</v>
      </c>
      <c r="I26" s="19" t="s">
        <v>26</v>
      </c>
      <c r="J26" s="17" t="s">
        <v>162</v>
      </c>
    </row>
    <row r="27" spans="1:10" ht="53.25">
      <c r="A27" s="17" t="s">
        <v>163</v>
      </c>
      <c r="B27" s="18" t="s">
        <v>164</v>
      </c>
      <c r="C27" s="17" t="s">
        <v>165</v>
      </c>
      <c r="D27" s="17" t="s">
        <v>164</v>
      </c>
      <c r="E27" s="17" t="s">
        <v>13</v>
      </c>
      <c r="F27" s="17" t="s">
        <v>122</v>
      </c>
      <c r="G27" s="17" t="s">
        <v>47</v>
      </c>
      <c r="H27" s="17" t="s">
        <v>166</v>
      </c>
      <c r="I27" s="19" t="s">
        <v>26</v>
      </c>
      <c r="J27" s="17" t="s">
        <v>167</v>
      </c>
    </row>
    <row r="28" spans="1:10" ht="27">
      <c r="A28" s="17" t="s">
        <v>168</v>
      </c>
      <c r="B28" s="18" t="s">
        <v>169</v>
      </c>
      <c r="C28" s="17" t="s">
        <v>170</v>
      </c>
      <c r="D28" s="17" t="s">
        <v>169</v>
      </c>
      <c r="E28" s="17" t="s">
        <v>13</v>
      </c>
      <c r="F28" s="17" t="s">
        <v>122</v>
      </c>
      <c r="G28" s="17" t="s">
        <v>47</v>
      </c>
      <c r="H28" s="17" t="s">
        <v>171</v>
      </c>
      <c r="I28" s="19" t="s">
        <v>26</v>
      </c>
      <c r="J28" s="17" t="s">
        <v>172</v>
      </c>
    </row>
    <row r="29" spans="1:10">
      <c r="A29" s="23"/>
      <c r="B29" s="23"/>
      <c r="C29" s="23"/>
      <c r="D29" s="23"/>
      <c r="E29" s="23"/>
      <c r="F29" s="23"/>
      <c r="G29" s="23"/>
      <c r="H29" s="23"/>
      <c r="I29" s="23"/>
      <c r="J29" s="23"/>
    </row>
  </sheetData>
  <conditionalFormatting sqref="I2:I28">
    <cfRule type="expression" dxfId="28" priority="1">
      <formula>I2="Open"</formula>
    </cfRule>
    <cfRule type="expression" dxfId="27" priority="2">
      <formula>I2="Resolved"</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
  <sheetViews>
    <sheetView showGridLines="0" workbookViewId="0"/>
  </sheetViews>
  <sheetFormatPr defaultRowHeight="14.25"/>
  <sheetData>
    <row r="1" spans="1:6" ht="24" customHeight="1">
      <c r="A1" s="24" t="s">
        <v>173</v>
      </c>
      <c r="B1" s="25"/>
      <c r="C1" s="25"/>
      <c r="D1" s="25"/>
      <c r="E1" s="25"/>
      <c r="F1" s="25"/>
    </row>
    <row r="2" spans="1:6" ht="24" customHeight="1">
      <c r="A2" s="21" t="s">
        <v>174</v>
      </c>
      <c r="B2" s="26"/>
      <c r="C2" s="26"/>
      <c r="D2" s="26"/>
      <c r="E2" s="26"/>
      <c r="F2" s="26"/>
    </row>
    <row r="3" spans="1:6" ht="24" customHeight="1">
      <c r="A3" s="3"/>
      <c r="B3" s="3"/>
      <c r="C3" s="3"/>
      <c r="D3" s="3"/>
      <c r="E3" s="3"/>
      <c r="F3" s="3"/>
    </row>
    <row r="4" spans="1:6" ht="24" customHeight="1">
      <c r="A4" s="4" t="s">
        <v>175</v>
      </c>
      <c r="B4" s="4" t="s">
        <v>176</v>
      </c>
      <c r="C4" s="4" t="s">
        <v>177</v>
      </c>
      <c r="D4" s="4" t="s">
        <v>178</v>
      </c>
      <c r="E4" s="3"/>
      <c r="F4" s="3"/>
    </row>
    <row r="5" spans="1:6" ht="24" customHeight="1">
      <c r="A5" s="10">
        <f>COUNTA('Case Reports'!A2:A28)</f>
        <v>27</v>
      </c>
      <c r="B5" s="10">
        <f>COUNTIF('Case Reports'!I2:I28,"Open")</f>
        <v>0</v>
      </c>
      <c r="C5" s="10">
        <f>COUNTIF('Case Reports'!I2:I28,"Resolved")</f>
        <v>3</v>
      </c>
      <c r="D5" s="10" t="e">
        <f>COUNTIF('Case Reports'!#REF!,"Unread")</f>
        <v>#REF!</v>
      </c>
      <c r="E5" s="3"/>
      <c r="F5" s="3"/>
    </row>
    <row r="6" spans="1:6" ht="24" customHeight="1">
      <c r="A6" s="3"/>
      <c r="B6" s="3"/>
      <c r="C6" s="3"/>
      <c r="D6" s="3"/>
      <c r="E6" s="3"/>
      <c r="F6" s="3"/>
    </row>
    <row r="7" spans="1:6" ht="24" customHeight="1">
      <c r="A7" s="3"/>
      <c r="B7" s="3"/>
      <c r="C7" s="3"/>
      <c r="D7" s="3"/>
      <c r="E7" s="3"/>
      <c r="F7" s="3"/>
    </row>
    <row r="8" spans="1:6" ht="24" customHeight="1">
      <c r="A8" s="5" t="s">
        <v>179</v>
      </c>
      <c r="B8" s="3"/>
      <c r="C8" s="3"/>
      <c r="D8" s="5" t="s">
        <v>180</v>
      </c>
      <c r="E8" s="3"/>
      <c r="F8" s="3"/>
    </row>
    <row r="9" spans="1:6" ht="24" customHeight="1">
      <c r="A9" s="6" t="s">
        <v>8</v>
      </c>
      <c r="B9" s="6" t="s">
        <v>181</v>
      </c>
      <c r="C9" s="6"/>
      <c r="D9" s="6" t="s">
        <v>6</v>
      </c>
      <c r="E9" s="6" t="s">
        <v>181</v>
      </c>
      <c r="F9" s="6"/>
    </row>
    <row r="10" spans="1:6" ht="24" customHeight="1">
      <c r="A10" s="3" t="s">
        <v>182</v>
      </c>
      <c r="B10" s="3">
        <f>COUNTIF('Case Reports'!I:I,"Open")</f>
        <v>0</v>
      </c>
      <c r="C10" s="3"/>
      <c r="D10" s="3" t="s">
        <v>47</v>
      </c>
      <c r="E10" s="3">
        <v>2</v>
      </c>
      <c r="F10" s="3"/>
    </row>
    <row r="11" spans="1:6" ht="24" customHeight="1">
      <c r="A11" s="3" t="s">
        <v>17</v>
      </c>
      <c r="B11" s="3">
        <f>COUNTIF('Case Reports'!I:I,"Resolved")</f>
        <v>3</v>
      </c>
      <c r="C11" s="3"/>
      <c r="D11" s="3" t="s">
        <v>183</v>
      </c>
      <c r="E11" s="3">
        <v>3</v>
      </c>
      <c r="F11" s="3"/>
    </row>
    <row r="12" spans="1:6" ht="24" customHeight="1">
      <c r="A12" s="3"/>
      <c r="B12" s="3"/>
      <c r="C12" s="3"/>
      <c r="D12" s="3" t="s">
        <v>184</v>
      </c>
      <c r="E12" s="3">
        <v>1</v>
      </c>
      <c r="F12" s="3"/>
    </row>
    <row r="13" spans="1:6" ht="24" customHeight="1">
      <c r="A13" s="3"/>
      <c r="B13" s="3"/>
      <c r="C13" s="3"/>
      <c r="D13" s="3" t="s">
        <v>185</v>
      </c>
      <c r="E13" s="3">
        <v>5</v>
      </c>
      <c r="F13" s="3"/>
    </row>
    <row r="14" spans="1:6" ht="24" customHeight="1">
      <c r="A14" s="3"/>
      <c r="B14" s="3"/>
      <c r="C14" s="3"/>
      <c r="D14" s="3" t="s">
        <v>33</v>
      </c>
      <c r="E14" s="3">
        <v>1</v>
      </c>
      <c r="F14" s="3"/>
    </row>
    <row r="15" spans="1:6" ht="24" customHeight="1">
      <c r="A15" s="5" t="s">
        <v>186</v>
      </c>
      <c r="B15" s="3"/>
      <c r="C15" s="3"/>
      <c r="D15" s="3" t="s">
        <v>187</v>
      </c>
      <c r="E15" s="3">
        <v>1</v>
      </c>
      <c r="F15" s="3"/>
    </row>
    <row r="16" spans="1:6" ht="24" customHeight="1">
      <c r="A16" s="6" t="s">
        <v>5</v>
      </c>
      <c r="B16" s="6" t="s">
        <v>7</v>
      </c>
      <c r="C16" s="6" t="s">
        <v>6</v>
      </c>
      <c r="D16" s="6" t="s">
        <v>188</v>
      </c>
      <c r="E16" s="3">
        <v>3</v>
      </c>
      <c r="F16" s="3"/>
    </row>
    <row r="17" spans="1:6" ht="24" customHeight="1">
      <c r="A17" s="3" t="s">
        <v>189</v>
      </c>
      <c r="B17" s="3" t="s">
        <v>190</v>
      </c>
      <c r="C17" s="3" t="s">
        <v>47</v>
      </c>
      <c r="D17" s="3" t="s">
        <v>191</v>
      </c>
      <c r="E17" s="3"/>
      <c r="F17" s="3"/>
    </row>
    <row r="18" spans="1:6" ht="24" customHeight="1">
      <c r="A18" s="3" t="s">
        <v>192</v>
      </c>
      <c r="B18" s="3" t="s">
        <v>193</v>
      </c>
      <c r="C18" s="3" t="s">
        <v>187</v>
      </c>
      <c r="D18" s="3" t="s">
        <v>194</v>
      </c>
      <c r="E18" s="3"/>
      <c r="F18" s="3"/>
    </row>
    <row r="19" spans="1:6" ht="24" customHeight="1">
      <c r="A19" s="3" t="s">
        <v>192</v>
      </c>
      <c r="B19" s="3" t="s">
        <v>195</v>
      </c>
      <c r="C19" s="3" t="s">
        <v>185</v>
      </c>
      <c r="D19" s="3" t="s">
        <v>196</v>
      </c>
      <c r="E19" s="3"/>
      <c r="F19" s="3"/>
    </row>
    <row r="20" spans="1:6" ht="24" customHeight="1">
      <c r="A20" s="3" t="s">
        <v>197</v>
      </c>
      <c r="B20" s="3" t="s">
        <v>198</v>
      </c>
      <c r="C20" s="3" t="s">
        <v>185</v>
      </c>
      <c r="D20" s="3" t="s">
        <v>199</v>
      </c>
      <c r="E20" s="3"/>
      <c r="F20" s="3"/>
    </row>
    <row r="21" spans="1:6" ht="24" customHeight="1">
      <c r="A21" s="3" t="s">
        <v>200</v>
      </c>
      <c r="B21" s="3" t="s">
        <v>201</v>
      </c>
      <c r="C21" s="3" t="s">
        <v>185</v>
      </c>
      <c r="D21" s="3" t="s">
        <v>202</v>
      </c>
      <c r="E21" s="3"/>
      <c r="F21" s="3"/>
    </row>
    <row r="22" spans="1:6" ht="24" customHeight="1">
      <c r="A22" s="3" t="s">
        <v>192</v>
      </c>
      <c r="B22" s="3" t="s">
        <v>203</v>
      </c>
      <c r="C22" s="3" t="s">
        <v>183</v>
      </c>
      <c r="D22" s="3" t="s">
        <v>204</v>
      </c>
      <c r="E22" s="3"/>
      <c r="F22" s="3"/>
    </row>
    <row r="23" spans="1:6" ht="24" customHeight="1">
      <c r="A23" s="3" t="s">
        <v>200</v>
      </c>
      <c r="B23" s="3" t="s">
        <v>201</v>
      </c>
      <c r="C23" s="3" t="s">
        <v>185</v>
      </c>
      <c r="D23" s="3" t="s">
        <v>205</v>
      </c>
      <c r="E23" s="3"/>
      <c r="F23" s="3"/>
    </row>
    <row r="24" spans="1:6" ht="24" customHeight="1">
      <c r="A24" s="3"/>
      <c r="B24" s="3"/>
      <c r="C24" s="3"/>
      <c r="D24" s="3"/>
      <c r="E24" s="3"/>
      <c r="F24" s="3"/>
    </row>
    <row r="25" spans="1:6" ht="24" customHeight="1">
      <c r="A25" s="3"/>
      <c r="B25" s="3"/>
      <c r="C25" s="3"/>
      <c r="D25" s="3"/>
      <c r="E25" s="3"/>
      <c r="F25" s="3"/>
    </row>
    <row r="26" spans="1:6" ht="24" customHeight="1">
      <c r="A26" s="5" t="s">
        <v>206</v>
      </c>
      <c r="B26" s="3"/>
      <c r="C26" s="3"/>
      <c r="D26" s="3"/>
      <c r="E26" s="3"/>
      <c r="F26" s="3"/>
    </row>
    <row r="27" spans="1:6" ht="24" customHeight="1">
      <c r="A27" s="22" t="s">
        <v>207</v>
      </c>
      <c r="B27" s="26"/>
      <c r="C27" s="26"/>
      <c r="D27" s="26"/>
      <c r="E27" s="26"/>
      <c r="F27" s="26"/>
    </row>
    <row r="28" spans="1:6" ht="24" customHeight="1">
      <c r="A28" s="26"/>
      <c r="B28" s="26"/>
      <c r="C28" s="26"/>
      <c r="D28" s="26"/>
      <c r="E28" s="26"/>
      <c r="F28" s="26"/>
    </row>
  </sheetData>
  <mergeCells count="3">
    <mergeCell ref="A2:F2"/>
    <mergeCell ref="A27:F28"/>
    <mergeCell ref="A1:F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
  <sheetViews>
    <sheetView showGridLines="0" workbookViewId="0">
      <pane ySplit="1" topLeftCell="A2" activePane="bottomLeft" state="frozen"/>
      <selection pane="bottomLeft"/>
    </sheetView>
  </sheetViews>
  <sheetFormatPr defaultRowHeight="14.25"/>
  <cols>
    <col min="1" max="2" width="18" customWidth="1"/>
    <col min="3" max="3" width="22" customWidth="1"/>
    <col min="4" max="4" width="35" customWidth="1"/>
    <col min="5" max="5" width="90" customWidth="1"/>
    <col min="6" max="6" width="12" customWidth="1"/>
    <col min="7" max="7" width="18" customWidth="1"/>
  </cols>
  <sheetData>
    <row r="1" spans="1:7" ht="24" customHeight="1">
      <c r="A1" s="7" t="s">
        <v>1</v>
      </c>
      <c r="B1" s="7" t="s">
        <v>5</v>
      </c>
      <c r="C1" s="7" t="s">
        <v>6</v>
      </c>
      <c r="D1" s="7" t="s">
        <v>7</v>
      </c>
      <c r="E1" s="7" t="s">
        <v>208</v>
      </c>
      <c r="F1" s="7" t="s">
        <v>209</v>
      </c>
      <c r="G1" s="7" t="s">
        <v>188</v>
      </c>
    </row>
    <row r="2" spans="1:7" ht="24" customHeight="1">
      <c r="A2" s="2" t="s">
        <v>210</v>
      </c>
      <c r="B2" s="2" t="s">
        <v>189</v>
      </c>
      <c r="C2" s="2" t="s">
        <v>47</v>
      </c>
      <c r="D2" s="2" t="s">
        <v>190</v>
      </c>
      <c r="E2" s="2" t="s">
        <v>211</v>
      </c>
      <c r="F2" s="2" t="s">
        <v>212</v>
      </c>
      <c r="G2" s="2" t="s">
        <v>191</v>
      </c>
    </row>
    <row r="3" spans="1:7" ht="24" customHeight="1">
      <c r="A3" s="2" t="s">
        <v>213</v>
      </c>
      <c r="B3" s="2" t="s">
        <v>192</v>
      </c>
      <c r="C3" s="2" t="s">
        <v>187</v>
      </c>
      <c r="D3" s="2" t="s">
        <v>193</v>
      </c>
      <c r="E3" s="2" t="s">
        <v>214</v>
      </c>
      <c r="F3" s="2" t="s">
        <v>212</v>
      </c>
      <c r="G3" s="2" t="s">
        <v>194</v>
      </c>
    </row>
    <row r="4" spans="1:7" ht="24" customHeight="1">
      <c r="A4" s="2" t="s">
        <v>215</v>
      </c>
      <c r="B4" s="2" t="s">
        <v>192</v>
      </c>
      <c r="C4" s="2" t="s">
        <v>185</v>
      </c>
      <c r="D4" s="2" t="s">
        <v>195</v>
      </c>
      <c r="E4" s="2" t="s">
        <v>216</v>
      </c>
      <c r="F4" s="2" t="s">
        <v>217</v>
      </c>
      <c r="G4" s="2" t="s">
        <v>196</v>
      </c>
    </row>
    <row r="5" spans="1:7" ht="24" customHeight="1">
      <c r="A5" s="2" t="s">
        <v>218</v>
      </c>
      <c r="B5" s="2" t="s">
        <v>197</v>
      </c>
      <c r="C5" s="2" t="s">
        <v>185</v>
      </c>
      <c r="D5" s="2" t="s">
        <v>198</v>
      </c>
      <c r="E5" s="2" t="s">
        <v>219</v>
      </c>
      <c r="F5" s="2" t="s">
        <v>217</v>
      </c>
      <c r="G5" s="2" t="s">
        <v>199</v>
      </c>
    </row>
    <row r="6" spans="1:7" ht="24" customHeight="1">
      <c r="A6" s="2" t="s">
        <v>220</v>
      </c>
      <c r="B6" s="2" t="s">
        <v>200</v>
      </c>
      <c r="C6" s="2" t="s">
        <v>185</v>
      </c>
      <c r="D6" s="2" t="s">
        <v>201</v>
      </c>
      <c r="E6" s="2" t="s">
        <v>221</v>
      </c>
      <c r="F6" s="2" t="s">
        <v>212</v>
      </c>
      <c r="G6" s="2" t="s">
        <v>202</v>
      </c>
    </row>
    <row r="7" spans="1:7" ht="24" customHeight="1">
      <c r="A7" s="2" t="s">
        <v>222</v>
      </c>
      <c r="B7" s="2" t="s">
        <v>192</v>
      </c>
      <c r="C7" s="2" t="s">
        <v>183</v>
      </c>
      <c r="D7" s="2" t="s">
        <v>203</v>
      </c>
      <c r="E7" s="2" t="s">
        <v>223</v>
      </c>
      <c r="F7" s="2" t="s">
        <v>217</v>
      </c>
      <c r="G7" s="2" t="s">
        <v>204</v>
      </c>
    </row>
    <row r="8" spans="1:7" ht="24" customHeight="1">
      <c r="A8" s="2" t="s">
        <v>220</v>
      </c>
      <c r="B8" s="2" t="s">
        <v>200</v>
      </c>
      <c r="C8" s="2" t="s">
        <v>185</v>
      </c>
      <c r="D8" s="2" t="s">
        <v>201</v>
      </c>
      <c r="E8" s="2" t="s">
        <v>224</v>
      </c>
      <c r="F8" s="2" t="s">
        <v>217</v>
      </c>
      <c r="G8" s="2" t="s">
        <v>205</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
  <sheetViews>
    <sheetView showGridLines="0" workbookViewId="0"/>
  </sheetViews>
  <sheetFormatPr defaultRowHeight="14.25"/>
  <cols>
    <col min="1" max="1" width="34" customWidth="1"/>
    <col min="2" max="2" width="82" customWidth="1"/>
    <col min="3" max="3" width="28" customWidth="1"/>
    <col min="4" max="4" width="42" customWidth="1"/>
    <col min="5" max="5" width="28" customWidth="1"/>
  </cols>
  <sheetData>
    <row r="1" spans="1:5" ht="24" customHeight="1">
      <c r="A1" s="27" t="s">
        <v>225</v>
      </c>
      <c r="B1" s="25"/>
      <c r="C1" s="25"/>
      <c r="D1" s="25"/>
      <c r="E1" s="25"/>
    </row>
    <row r="2" spans="1:5" ht="24" customHeight="1">
      <c r="A2" s="8" t="s">
        <v>226</v>
      </c>
      <c r="B2" s="8" t="s">
        <v>227</v>
      </c>
      <c r="C2" s="8" t="s">
        <v>228</v>
      </c>
      <c r="D2" s="8" t="s">
        <v>229</v>
      </c>
      <c r="E2" s="8" t="s">
        <v>188</v>
      </c>
    </row>
    <row r="3" spans="1:5" ht="24" customHeight="1">
      <c r="A3" s="2" t="s">
        <v>230</v>
      </c>
      <c r="B3" s="2" t="s">
        <v>231</v>
      </c>
      <c r="C3" s="2" t="s">
        <v>232</v>
      </c>
      <c r="D3" s="2" t="s">
        <v>233</v>
      </c>
      <c r="E3" s="2" t="s">
        <v>191</v>
      </c>
    </row>
    <row r="4" spans="1:5" ht="24" customHeight="1">
      <c r="A4" s="2" t="s">
        <v>198</v>
      </c>
      <c r="B4" s="2" t="s">
        <v>234</v>
      </c>
      <c r="C4" s="2" t="s">
        <v>235</v>
      </c>
      <c r="D4" s="2" t="s">
        <v>236</v>
      </c>
      <c r="E4" s="2" t="s">
        <v>199</v>
      </c>
    </row>
    <row r="5" spans="1:5" ht="24" customHeight="1">
      <c r="A5" s="2" t="s">
        <v>203</v>
      </c>
      <c r="B5" s="2" t="s">
        <v>237</v>
      </c>
      <c r="C5" s="2" t="s">
        <v>238</v>
      </c>
      <c r="D5" s="2" t="s">
        <v>239</v>
      </c>
      <c r="E5" s="2" t="s">
        <v>240</v>
      </c>
    </row>
    <row r="6" spans="1:5" ht="24" customHeight="1">
      <c r="A6" s="2" t="s">
        <v>201</v>
      </c>
      <c r="B6" s="2" t="s">
        <v>241</v>
      </c>
      <c r="C6" s="2" t="s">
        <v>242</v>
      </c>
      <c r="D6" s="2" t="s">
        <v>243</v>
      </c>
      <c r="E6" s="2" t="s">
        <v>244</v>
      </c>
    </row>
  </sheetData>
  <mergeCells count="1">
    <mergeCell ref="A1:E1"/>
  </mergeCell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D8117-F546-4784-8A8A-3B0AB79F6C46}">
  <dimension ref="A1:J69"/>
  <sheetViews>
    <sheetView showGridLines="0" topLeftCell="H1" workbookViewId="0">
      <pane ySplit="1" topLeftCell="A2" activePane="bottomLeft" state="frozen"/>
      <selection pane="bottomLeft"/>
      <selection activeCell="G1" sqref="G1"/>
    </sheetView>
  </sheetViews>
  <sheetFormatPr defaultRowHeight="14.25"/>
  <cols>
    <col min="1" max="2" width="18" customWidth="1"/>
    <col min="3" max="3" width="42" customWidth="1"/>
    <col min="4" max="4" width="22" customWidth="1"/>
    <col min="5" max="5" width="20" customWidth="1"/>
    <col min="6" max="6" width="18" customWidth="1"/>
    <col min="7" max="7" width="24" customWidth="1"/>
    <col min="8" max="8" width="32" customWidth="1"/>
    <col min="9" max="9" width="12" customWidth="1"/>
    <col min="10" max="10" width="80" customWidth="1"/>
  </cols>
  <sheetData>
    <row r="1" spans="1:10" ht="24" customHeight="1">
      <c r="A1" s="1" t="s">
        <v>0</v>
      </c>
      <c r="B1" s="1" t="s">
        <v>1</v>
      </c>
      <c r="C1" s="1" t="s">
        <v>2</v>
      </c>
      <c r="D1" s="1" t="s">
        <v>3</v>
      </c>
      <c r="E1" s="1" t="s">
        <v>4</v>
      </c>
      <c r="F1" s="1" t="s">
        <v>5</v>
      </c>
      <c r="G1" s="1" t="s">
        <v>6</v>
      </c>
      <c r="H1" s="1" t="s">
        <v>7</v>
      </c>
      <c r="I1" s="1" t="s">
        <v>8</v>
      </c>
      <c r="J1" s="1" t="s">
        <v>9</v>
      </c>
    </row>
    <row r="2" spans="1:10" ht="24" customHeight="1">
      <c r="A2" s="11">
        <v>46213.470833333333</v>
      </c>
      <c r="B2" s="2" t="s">
        <v>210</v>
      </c>
      <c r="C2" s="2" t="s">
        <v>245</v>
      </c>
      <c r="D2" s="2" t="s">
        <v>246</v>
      </c>
      <c r="E2" s="2" t="s">
        <v>13</v>
      </c>
      <c r="F2" s="2" t="s">
        <v>189</v>
      </c>
      <c r="G2" s="2" t="s">
        <v>47</v>
      </c>
      <c r="H2" s="2" t="s">
        <v>190</v>
      </c>
      <c r="I2" s="2" t="s">
        <v>182</v>
      </c>
      <c r="J2" s="2" t="s">
        <v>211</v>
      </c>
    </row>
    <row r="3" spans="1:10" ht="24" customHeight="1">
      <c r="A3" s="11">
        <v>46213.417361111111</v>
      </c>
      <c r="B3" s="2" t="s">
        <v>247</v>
      </c>
      <c r="C3" s="2" t="s">
        <v>248</v>
      </c>
      <c r="D3" s="2" t="s">
        <v>246</v>
      </c>
      <c r="E3" s="2" t="s">
        <v>13</v>
      </c>
      <c r="F3" s="2" t="s">
        <v>249</v>
      </c>
      <c r="G3" s="2" t="s">
        <v>47</v>
      </c>
      <c r="H3" s="2" t="s">
        <v>250</v>
      </c>
      <c r="I3" s="2" t="s">
        <v>17</v>
      </c>
      <c r="J3" s="2" t="s">
        <v>251</v>
      </c>
    </row>
    <row r="4" spans="1:10" ht="24" customHeight="1">
      <c r="A4" s="11" t="s">
        <v>252</v>
      </c>
      <c r="B4" s="2" t="s">
        <v>252</v>
      </c>
      <c r="C4" s="2" t="s">
        <v>253</v>
      </c>
      <c r="D4" s="2" t="s">
        <v>246</v>
      </c>
      <c r="E4" s="2" t="s">
        <v>13</v>
      </c>
      <c r="F4" s="2" t="s">
        <v>254</v>
      </c>
      <c r="G4" s="2" t="s">
        <v>15</v>
      </c>
      <c r="H4" s="2" t="s">
        <v>255</v>
      </c>
      <c r="I4" s="2" t="s">
        <v>17</v>
      </c>
      <c r="J4" s="2" t="s">
        <v>256</v>
      </c>
    </row>
    <row r="5" spans="1:10" ht="24" customHeight="1">
      <c r="A5" s="11" t="s">
        <v>257</v>
      </c>
      <c r="B5" s="2" t="s">
        <v>257</v>
      </c>
      <c r="C5" s="2" t="s">
        <v>258</v>
      </c>
      <c r="D5" s="2" t="s">
        <v>246</v>
      </c>
      <c r="E5" s="2" t="s">
        <v>13</v>
      </c>
      <c r="F5" s="2" t="s">
        <v>259</v>
      </c>
      <c r="G5" s="2" t="s">
        <v>15</v>
      </c>
      <c r="H5" s="2" t="s">
        <v>260</v>
      </c>
      <c r="I5" s="2" t="s">
        <v>17</v>
      </c>
      <c r="J5" s="2" t="s">
        <v>261</v>
      </c>
    </row>
    <row r="6" spans="1:10" ht="24" customHeight="1">
      <c r="A6" s="11" t="s">
        <v>213</v>
      </c>
      <c r="B6" s="2" t="s">
        <v>213</v>
      </c>
      <c r="C6" s="2" t="s">
        <v>262</v>
      </c>
      <c r="D6" s="2" t="s">
        <v>246</v>
      </c>
      <c r="E6" s="2" t="s">
        <v>13</v>
      </c>
      <c r="F6" s="2" t="s">
        <v>192</v>
      </c>
      <c r="G6" s="2" t="s">
        <v>187</v>
      </c>
      <c r="H6" s="2" t="s">
        <v>193</v>
      </c>
      <c r="I6" s="2" t="s">
        <v>182</v>
      </c>
      <c r="J6" s="2" t="s">
        <v>214</v>
      </c>
    </row>
    <row r="7" spans="1:10" ht="24" customHeight="1">
      <c r="A7" s="11" t="s">
        <v>263</v>
      </c>
      <c r="B7" s="2" t="s">
        <v>263</v>
      </c>
      <c r="C7" s="2" t="s">
        <v>264</v>
      </c>
      <c r="D7" s="2" t="s">
        <v>246</v>
      </c>
      <c r="E7" s="2" t="s">
        <v>13</v>
      </c>
      <c r="F7" s="2" t="s">
        <v>265</v>
      </c>
      <c r="G7" s="2" t="s">
        <v>183</v>
      </c>
      <c r="H7" s="2" t="s">
        <v>266</v>
      </c>
      <c r="I7" s="2" t="s">
        <v>17</v>
      </c>
      <c r="J7" s="2" t="s">
        <v>267</v>
      </c>
    </row>
    <row r="8" spans="1:10" ht="24" customHeight="1">
      <c r="A8" s="11" t="s">
        <v>268</v>
      </c>
      <c r="B8" s="2" t="s">
        <v>268</v>
      </c>
      <c r="C8" s="2" t="s">
        <v>269</v>
      </c>
      <c r="D8" s="2" t="s">
        <v>246</v>
      </c>
      <c r="E8" s="2" t="s">
        <v>13</v>
      </c>
      <c r="F8" s="2" t="s">
        <v>265</v>
      </c>
      <c r="G8" s="2" t="s">
        <v>183</v>
      </c>
      <c r="H8" s="2" t="s">
        <v>270</v>
      </c>
      <c r="I8" s="2" t="s">
        <v>17</v>
      </c>
      <c r="J8" s="2" t="s">
        <v>271</v>
      </c>
    </row>
    <row r="9" spans="1:10" ht="24" customHeight="1">
      <c r="A9" s="11" t="s">
        <v>215</v>
      </c>
      <c r="B9" s="2" t="s">
        <v>215</v>
      </c>
      <c r="C9" s="2" t="s">
        <v>272</v>
      </c>
      <c r="D9" s="2" t="s">
        <v>273</v>
      </c>
      <c r="E9" s="2" t="s">
        <v>13</v>
      </c>
      <c r="F9" s="2" t="s">
        <v>192</v>
      </c>
      <c r="G9" s="2" t="s">
        <v>185</v>
      </c>
      <c r="H9" s="2" t="s">
        <v>195</v>
      </c>
      <c r="I9" s="2" t="s">
        <v>182</v>
      </c>
      <c r="J9" s="2" t="s">
        <v>216</v>
      </c>
    </row>
    <row r="10" spans="1:10" ht="24" customHeight="1">
      <c r="A10" s="11" t="s">
        <v>274</v>
      </c>
      <c r="B10" s="2" t="s">
        <v>274</v>
      </c>
      <c r="C10" s="2" t="s">
        <v>275</v>
      </c>
      <c r="D10" s="2" t="s">
        <v>276</v>
      </c>
      <c r="E10" s="2" t="s">
        <v>13</v>
      </c>
      <c r="F10" s="2" t="s">
        <v>277</v>
      </c>
      <c r="G10" s="2" t="s">
        <v>185</v>
      </c>
      <c r="H10" s="2" t="s">
        <v>278</v>
      </c>
      <c r="I10" s="2" t="s">
        <v>17</v>
      </c>
      <c r="J10" s="2" t="s">
        <v>279</v>
      </c>
    </row>
    <row r="11" spans="1:10" ht="24" customHeight="1">
      <c r="A11" s="11" t="s">
        <v>280</v>
      </c>
      <c r="B11" s="2" t="s">
        <v>280</v>
      </c>
      <c r="C11" s="2" t="s">
        <v>281</v>
      </c>
      <c r="D11" s="2" t="s">
        <v>276</v>
      </c>
      <c r="E11" s="2" t="s">
        <v>13</v>
      </c>
      <c r="F11" s="2" t="s">
        <v>282</v>
      </c>
      <c r="G11" s="2" t="s">
        <v>184</v>
      </c>
      <c r="H11" s="2" t="s">
        <v>283</v>
      </c>
      <c r="I11" s="2" t="s">
        <v>17</v>
      </c>
      <c r="J11" s="2" t="s">
        <v>284</v>
      </c>
    </row>
    <row r="12" spans="1:10" ht="24" customHeight="1">
      <c r="A12" s="11" t="s">
        <v>218</v>
      </c>
      <c r="B12" s="2" t="s">
        <v>218</v>
      </c>
      <c r="C12" s="2" t="s">
        <v>285</v>
      </c>
      <c r="D12" s="2" t="s">
        <v>286</v>
      </c>
      <c r="E12" s="2" t="s">
        <v>13</v>
      </c>
      <c r="F12" s="2" t="s">
        <v>197</v>
      </c>
      <c r="G12" s="2" t="s">
        <v>185</v>
      </c>
      <c r="H12" s="2" t="s">
        <v>198</v>
      </c>
      <c r="I12" s="2" t="s">
        <v>182</v>
      </c>
      <c r="J12" s="2" t="s">
        <v>219</v>
      </c>
    </row>
    <row r="13" spans="1:10" ht="24" customHeight="1">
      <c r="A13" s="11" t="s">
        <v>287</v>
      </c>
      <c r="B13" s="2" t="s">
        <v>287</v>
      </c>
      <c r="C13" s="2" t="s">
        <v>275</v>
      </c>
      <c r="D13" s="2" t="s">
        <v>288</v>
      </c>
      <c r="E13" s="2" t="s">
        <v>13</v>
      </c>
      <c r="F13" s="2" t="s">
        <v>277</v>
      </c>
      <c r="G13" s="2" t="s">
        <v>33</v>
      </c>
      <c r="H13" s="2" t="s">
        <v>289</v>
      </c>
      <c r="I13" s="2" t="s">
        <v>17</v>
      </c>
      <c r="J13" s="2" t="s">
        <v>290</v>
      </c>
    </row>
    <row r="14" spans="1:10" ht="24" customHeight="1">
      <c r="A14" s="11" t="s">
        <v>291</v>
      </c>
      <c r="B14" s="2" t="s">
        <v>291</v>
      </c>
      <c r="C14" s="2" t="s">
        <v>258</v>
      </c>
      <c r="D14" s="2" t="s">
        <v>246</v>
      </c>
      <c r="E14" s="2" t="s">
        <v>13</v>
      </c>
      <c r="F14" s="2" t="s">
        <v>259</v>
      </c>
      <c r="G14" s="2" t="s">
        <v>15</v>
      </c>
      <c r="H14" s="2" t="s">
        <v>260</v>
      </c>
      <c r="I14" s="2" t="s">
        <v>17</v>
      </c>
      <c r="J14" s="2" t="s">
        <v>261</v>
      </c>
    </row>
    <row r="15" spans="1:10" ht="24" customHeight="1">
      <c r="A15" s="11" t="s">
        <v>220</v>
      </c>
      <c r="B15" s="2" t="s">
        <v>220</v>
      </c>
      <c r="C15" s="2" t="s">
        <v>292</v>
      </c>
      <c r="D15" s="2" t="s">
        <v>286</v>
      </c>
      <c r="E15" s="2" t="s">
        <v>13</v>
      </c>
      <c r="F15" s="2" t="s">
        <v>200</v>
      </c>
      <c r="G15" s="2" t="s">
        <v>185</v>
      </c>
      <c r="H15" s="2" t="s">
        <v>201</v>
      </c>
      <c r="I15" s="2" t="s">
        <v>182</v>
      </c>
      <c r="J15" s="2" t="s">
        <v>221</v>
      </c>
    </row>
    <row r="16" spans="1:10" ht="24" customHeight="1">
      <c r="A16" s="11" t="s">
        <v>222</v>
      </c>
      <c r="B16" s="2" t="s">
        <v>222</v>
      </c>
      <c r="C16" s="2" t="s">
        <v>293</v>
      </c>
      <c r="D16" s="2" t="s">
        <v>246</v>
      </c>
      <c r="E16" s="2" t="s">
        <v>13</v>
      </c>
      <c r="F16" s="2" t="s">
        <v>192</v>
      </c>
      <c r="G16" s="2" t="s">
        <v>183</v>
      </c>
      <c r="H16" s="2" t="s">
        <v>203</v>
      </c>
      <c r="I16" s="2" t="s">
        <v>182</v>
      </c>
      <c r="J16" s="2" t="s">
        <v>223</v>
      </c>
    </row>
    <row r="17" spans="1:10" ht="24" customHeight="1">
      <c r="A17" s="11" t="s">
        <v>220</v>
      </c>
      <c r="B17" s="2" t="s">
        <v>220</v>
      </c>
      <c r="C17" s="2" t="s">
        <v>292</v>
      </c>
      <c r="D17" s="2" t="s">
        <v>286</v>
      </c>
      <c r="E17" s="2" t="s">
        <v>13</v>
      </c>
      <c r="F17" s="2" t="s">
        <v>200</v>
      </c>
      <c r="G17" s="2" t="s">
        <v>185</v>
      </c>
      <c r="H17" s="2" t="s">
        <v>201</v>
      </c>
      <c r="I17" s="2" t="s">
        <v>182</v>
      </c>
      <c r="J17" s="2" t="s">
        <v>224</v>
      </c>
    </row>
    <row r="18" spans="1:10" ht="15">
      <c r="A18" s="11"/>
      <c r="B18" s="11"/>
      <c r="C18" s="11"/>
      <c r="D18" s="11" t="s">
        <v>294</v>
      </c>
      <c r="E18" s="11" t="s">
        <v>13</v>
      </c>
      <c r="F18" s="11" t="s">
        <v>295</v>
      </c>
      <c r="G18" s="11" t="s">
        <v>15</v>
      </c>
      <c r="H18" s="11" t="s">
        <v>296</v>
      </c>
      <c r="I18" s="11" t="s">
        <v>17</v>
      </c>
      <c r="J18" s="11" t="s">
        <v>297</v>
      </c>
    </row>
    <row r="19" spans="1:10" ht="15">
      <c r="A19" s="11"/>
      <c r="B19" s="11"/>
      <c r="C19" s="11"/>
      <c r="D19" s="11" t="s">
        <v>298</v>
      </c>
      <c r="E19" s="11" t="s">
        <v>13</v>
      </c>
      <c r="F19" s="11" t="s">
        <v>254</v>
      </c>
      <c r="G19" s="11" t="s">
        <v>183</v>
      </c>
      <c r="H19" s="11" t="s">
        <v>299</v>
      </c>
      <c r="I19" s="11" t="s">
        <v>17</v>
      </c>
      <c r="J19" s="11" t="s">
        <v>300</v>
      </c>
    </row>
    <row r="20" spans="1:10" ht="15">
      <c r="A20" s="11"/>
      <c r="B20" s="9"/>
      <c r="C20" s="11" t="s">
        <v>301</v>
      </c>
      <c r="D20" s="11" t="s">
        <v>302</v>
      </c>
      <c r="E20" s="11" t="s">
        <v>13</v>
      </c>
      <c r="F20" s="11" t="s">
        <v>303</v>
      </c>
      <c r="G20" s="11" t="s">
        <v>183</v>
      </c>
      <c r="H20" s="11" t="s">
        <v>304</v>
      </c>
      <c r="I20" s="11" t="s">
        <v>17</v>
      </c>
      <c r="J20" s="11" t="s">
        <v>305</v>
      </c>
    </row>
    <row r="21" spans="1:10" ht="15">
      <c r="A21" s="11"/>
      <c r="B21" s="9"/>
      <c r="C21" s="11" t="s">
        <v>306</v>
      </c>
      <c r="D21" s="11" t="s">
        <v>307</v>
      </c>
      <c r="E21" s="11" t="s">
        <v>13</v>
      </c>
      <c r="F21" s="11" t="s">
        <v>308</v>
      </c>
      <c r="G21" s="11" t="s">
        <v>33</v>
      </c>
      <c r="H21" s="11" t="s">
        <v>309</v>
      </c>
      <c r="I21" s="11" t="s">
        <v>17</v>
      </c>
      <c r="J21" s="11" t="s">
        <v>310</v>
      </c>
    </row>
    <row r="22" spans="1:10" ht="15">
      <c r="A22" s="11"/>
      <c r="B22" s="9"/>
      <c r="C22" s="11" t="s">
        <v>311</v>
      </c>
      <c r="D22" s="11" t="s">
        <v>312</v>
      </c>
      <c r="E22" s="11" t="s">
        <v>13</v>
      </c>
      <c r="F22" s="11" t="s">
        <v>259</v>
      </c>
      <c r="G22" s="11" t="s">
        <v>15</v>
      </c>
      <c r="H22" s="11" t="s">
        <v>313</v>
      </c>
      <c r="I22" s="11" t="s">
        <v>17</v>
      </c>
      <c r="J22" s="11" t="s">
        <v>314</v>
      </c>
    </row>
    <row r="23" spans="1:10" ht="15">
      <c r="A23" s="11"/>
      <c r="B23" s="9"/>
      <c r="C23" s="11" t="s">
        <v>311</v>
      </c>
      <c r="D23" s="11" t="s">
        <v>312</v>
      </c>
      <c r="E23" s="11" t="s">
        <v>13</v>
      </c>
      <c r="F23" s="11" t="s">
        <v>259</v>
      </c>
      <c r="G23" s="11" t="s">
        <v>15</v>
      </c>
      <c r="H23" s="11" t="s">
        <v>313</v>
      </c>
      <c r="I23" s="11" t="s">
        <v>17</v>
      </c>
      <c r="J23" s="11" t="s">
        <v>314</v>
      </c>
    </row>
    <row r="24" spans="1:10" ht="15">
      <c r="A24" s="11"/>
      <c r="B24" s="9"/>
      <c r="C24" s="11" t="s">
        <v>306</v>
      </c>
      <c r="D24" s="11" t="s">
        <v>307</v>
      </c>
      <c r="E24" s="11" t="s">
        <v>13</v>
      </c>
      <c r="F24" s="11" t="s">
        <v>308</v>
      </c>
      <c r="G24" s="11" t="s">
        <v>33</v>
      </c>
      <c r="H24" s="11" t="s">
        <v>309</v>
      </c>
      <c r="I24" s="11" t="s">
        <v>17</v>
      </c>
      <c r="J24" s="11" t="s">
        <v>310</v>
      </c>
    </row>
    <row r="25" spans="1:10" ht="15">
      <c r="A25" s="11"/>
      <c r="B25" s="9"/>
      <c r="C25" s="11" t="s">
        <v>306</v>
      </c>
      <c r="D25" s="11" t="s">
        <v>307</v>
      </c>
      <c r="E25" s="11" t="s">
        <v>13</v>
      </c>
      <c r="F25" s="11" t="s">
        <v>308</v>
      </c>
      <c r="G25" s="11" t="s">
        <v>33</v>
      </c>
      <c r="H25" s="11" t="s">
        <v>309</v>
      </c>
      <c r="I25" s="11" t="s">
        <v>17</v>
      </c>
      <c r="J25" s="11" t="s">
        <v>310</v>
      </c>
    </row>
    <row r="26" spans="1:10" ht="15">
      <c r="A26" s="11"/>
      <c r="B26" s="2"/>
      <c r="C26" s="11" t="s">
        <v>301</v>
      </c>
      <c r="D26" s="11" t="s">
        <v>315</v>
      </c>
      <c r="E26" s="11" t="s">
        <v>13</v>
      </c>
      <c r="F26" s="11" t="s">
        <v>303</v>
      </c>
      <c r="G26" s="11" t="s">
        <v>183</v>
      </c>
      <c r="H26" s="11" t="s">
        <v>304</v>
      </c>
      <c r="I26" s="11" t="s">
        <v>17</v>
      </c>
      <c r="J26" s="11" t="s">
        <v>305</v>
      </c>
    </row>
    <row r="27" spans="1:10" ht="15">
      <c r="A27" s="11">
        <v>123</v>
      </c>
      <c r="B27" s="2"/>
      <c r="C27" s="11" t="s">
        <v>316</v>
      </c>
      <c r="D27" s="11" t="s">
        <v>317</v>
      </c>
      <c r="E27" s="11" t="s">
        <v>13</v>
      </c>
      <c r="F27" s="11" t="s">
        <v>318</v>
      </c>
      <c r="G27" s="11" t="s">
        <v>47</v>
      </c>
      <c r="H27" s="11" t="s">
        <v>319</v>
      </c>
      <c r="I27" s="11" t="s">
        <v>17</v>
      </c>
      <c r="J27" s="11" t="s">
        <v>320</v>
      </c>
    </row>
    <row r="28" spans="1:10" ht="15">
      <c r="A28" s="11"/>
      <c r="B28" s="2"/>
      <c r="C28" s="11" t="s">
        <v>321</v>
      </c>
      <c r="D28" s="11" t="s">
        <v>322</v>
      </c>
      <c r="E28" s="11" t="s">
        <v>13</v>
      </c>
      <c r="F28" s="11" t="s">
        <v>323</v>
      </c>
      <c r="G28" s="11" t="s">
        <v>183</v>
      </c>
      <c r="H28" s="11" t="s">
        <v>324</v>
      </c>
      <c r="I28" s="11" t="s">
        <v>17</v>
      </c>
      <c r="J28" s="11" t="s">
        <v>325</v>
      </c>
    </row>
    <row r="29" spans="1:10" ht="15">
      <c r="A29" s="11"/>
      <c r="B29" s="2"/>
      <c r="C29" s="11" t="s">
        <v>326</v>
      </c>
      <c r="D29" s="11" t="s">
        <v>327</v>
      </c>
      <c r="E29" s="11" t="s">
        <v>13</v>
      </c>
      <c r="F29" s="11" t="s">
        <v>303</v>
      </c>
      <c r="G29" s="11" t="s">
        <v>33</v>
      </c>
      <c r="H29" s="11" t="s">
        <v>328</v>
      </c>
      <c r="I29" s="11" t="s">
        <v>17</v>
      </c>
      <c r="J29" s="11" t="s">
        <v>329</v>
      </c>
    </row>
    <row r="30" spans="1:10" ht="15">
      <c r="A30" s="11"/>
      <c r="B30" s="2"/>
      <c r="C30" s="11" t="s">
        <v>330</v>
      </c>
      <c r="D30" s="11" t="s">
        <v>331</v>
      </c>
      <c r="E30" s="11" t="s">
        <v>13</v>
      </c>
      <c r="F30" s="11" t="s">
        <v>332</v>
      </c>
      <c r="G30" s="11" t="s">
        <v>183</v>
      </c>
      <c r="H30" s="11" t="s">
        <v>333</v>
      </c>
      <c r="I30" s="11" t="s">
        <v>17</v>
      </c>
      <c r="J30" s="11" t="s">
        <v>334</v>
      </c>
    </row>
    <row r="31" spans="1:10" ht="15">
      <c r="A31" s="11"/>
      <c r="B31" s="2"/>
      <c r="C31" s="11" t="s">
        <v>335</v>
      </c>
      <c r="D31" s="11" t="s">
        <v>336</v>
      </c>
      <c r="E31" s="11" t="s">
        <v>13</v>
      </c>
      <c r="F31" s="11" t="s">
        <v>337</v>
      </c>
      <c r="G31" s="11" t="s">
        <v>183</v>
      </c>
      <c r="H31" s="11" t="s">
        <v>324</v>
      </c>
      <c r="I31" s="11" t="s">
        <v>17</v>
      </c>
      <c r="J31" s="11" t="s">
        <v>338</v>
      </c>
    </row>
    <row r="32" spans="1:10" ht="15">
      <c r="A32" s="11"/>
      <c r="B32" s="2"/>
      <c r="C32" s="11" t="s">
        <v>339</v>
      </c>
      <c r="D32" s="11" t="s">
        <v>340</v>
      </c>
      <c r="E32" s="11" t="s">
        <v>13</v>
      </c>
      <c r="F32" s="11" t="s">
        <v>341</v>
      </c>
      <c r="G32" s="11" t="s">
        <v>47</v>
      </c>
      <c r="H32" s="11" t="s">
        <v>342</v>
      </c>
      <c r="I32" s="11" t="s">
        <v>17</v>
      </c>
      <c r="J32" s="11" t="s">
        <v>343</v>
      </c>
    </row>
    <row r="33" spans="1:10" ht="15">
      <c r="A33" s="11"/>
      <c r="B33" s="2"/>
      <c r="C33" s="11" t="s">
        <v>344</v>
      </c>
      <c r="D33" s="11" t="s">
        <v>345</v>
      </c>
      <c r="E33" s="11" t="s">
        <v>13</v>
      </c>
      <c r="F33" s="11" t="s">
        <v>346</v>
      </c>
      <c r="G33" s="11" t="s">
        <v>47</v>
      </c>
      <c r="H33" s="11" t="s">
        <v>342</v>
      </c>
      <c r="I33" s="11" t="s">
        <v>17</v>
      </c>
      <c r="J33" s="11" t="s">
        <v>347</v>
      </c>
    </row>
    <row r="34" spans="1:10" ht="15">
      <c r="A34" s="11"/>
      <c r="B34" s="2"/>
      <c r="C34" s="11" t="s">
        <v>348</v>
      </c>
      <c r="D34" s="11" t="s">
        <v>349</v>
      </c>
      <c r="E34" s="11" t="s">
        <v>13</v>
      </c>
      <c r="F34" s="11" t="s">
        <v>265</v>
      </c>
      <c r="G34" s="11" t="s">
        <v>183</v>
      </c>
      <c r="H34" s="11" t="s">
        <v>333</v>
      </c>
      <c r="I34" s="11" t="s">
        <v>17</v>
      </c>
      <c r="J34" s="11" t="s">
        <v>350</v>
      </c>
    </row>
    <row r="35" spans="1:10" ht="15">
      <c r="A35" s="11" t="s">
        <v>351</v>
      </c>
      <c r="B35" s="2"/>
      <c r="C35" s="11" t="s">
        <v>352</v>
      </c>
      <c r="D35" s="11" t="s">
        <v>353</v>
      </c>
      <c r="E35" s="11" t="s">
        <v>13</v>
      </c>
      <c r="F35" s="11" t="s">
        <v>265</v>
      </c>
      <c r="G35" s="11" t="s">
        <v>183</v>
      </c>
      <c r="H35" s="11" t="s">
        <v>354</v>
      </c>
      <c r="I35" s="11" t="s">
        <v>17</v>
      </c>
      <c r="J35" s="11" t="s">
        <v>355</v>
      </c>
    </row>
    <row r="36" spans="1:10" ht="15">
      <c r="A36" s="11" t="s">
        <v>356</v>
      </c>
      <c r="B36" s="2"/>
      <c r="C36" s="11" t="s">
        <v>357</v>
      </c>
      <c r="D36" s="11" t="s">
        <v>353</v>
      </c>
      <c r="E36" s="11" t="s">
        <v>13</v>
      </c>
      <c r="F36" s="11" t="s">
        <v>358</v>
      </c>
      <c r="G36" s="11" t="s">
        <v>47</v>
      </c>
      <c r="H36" s="11" t="s">
        <v>342</v>
      </c>
      <c r="I36" s="11" t="s">
        <v>17</v>
      </c>
      <c r="J36" s="11" t="s">
        <v>359</v>
      </c>
    </row>
    <row r="37" spans="1:10" ht="15">
      <c r="A37" s="11" t="s">
        <v>356</v>
      </c>
      <c r="B37" s="2"/>
      <c r="C37" s="11" t="s">
        <v>360</v>
      </c>
      <c r="D37" s="11" t="s">
        <v>353</v>
      </c>
      <c r="E37" s="11" t="s">
        <v>361</v>
      </c>
      <c r="F37" s="11" t="s">
        <v>362</v>
      </c>
      <c r="G37" s="11" t="s">
        <v>183</v>
      </c>
      <c r="H37" s="11" t="s">
        <v>333</v>
      </c>
      <c r="I37" s="11" t="s">
        <v>17</v>
      </c>
      <c r="J37" s="11" t="s">
        <v>363</v>
      </c>
    </row>
    <row r="38" spans="1:10" ht="15">
      <c r="A38" s="11" t="s">
        <v>356</v>
      </c>
      <c r="B38" s="2"/>
      <c r="C38" s="11" t="s">
        <v>364</v>
      </c>
      <c r="D38" s="11" t="s">
        <v>365</v>
      </c>
      <c r="E38" s="11" t="s">
        <v>366</v>
      </c>
      <c r="F38" s="11" t="s">
        <v>265</v>
      </c>
      <c r="G38" s="11" t="s">
        <v>183</v>
      </c>
      <c r="H38" s="11" t="s">
        <v>367</v>
      </c>
      <c r="I38" s="11" t="s">
        <v>17</v>
      </c>
      <c r="J38" s="11" t="s">
        <v>368</v>
      </c>
    </row>
    <row r="39" spans="1:10" ht="15">
      <c r="A39" s="11" t="s">
        <v>369</v>
      </c>
      <c r="B39" s="2" t="s">
        <v>353</v>
      </c>
      <c r="C39" s="11" t="s">
        <v>364</v>
      </c>
      <c r="D39" s="11" t="s">
        <v>370</v>
      </c>
      <c r="E39" s="11" t="s">
        <v>366</v>
      </c>
      <c r="F39" s="11" t="s">
        <v>265</v>
      </c>
      <c r="G39" s="11" t="s">
        <v>183</v>
      </c>
      <c r="H39" s="11" t="s">
        <v>367</v>
      </c>
      <c r="I39" s="11" t="s">
        <v>17</v>
      </c>
      <c r="J39" s="11" t="s">
        <v>368</v>
      </c>
    </row>
    <row r="40" spans="1:10" ht="15">
      <c r="A40" s="11" t="s">
        <v>371</v>
      </c>
      <c r="B40" s="2" t="s">
        <v>372</v>
      </c>
      <c r="C40" s="11" t="s">
        <v>373</v>
      </c>
      <c r="D40" s="11" t="s">
        <v>372</v>
      </c>
      <c r="E40" s="11" t="s">
        <v>13</v>
      </c>
      <c r="F40" s="11" t="s">
        <v>318</v>
      </c>
      <c r="G40" s="11" t="s">
        <v>15</v>
      </c>
      <c r="H40" s="11" t="s">
        <v>374</v>
      </c>
      <c r="I40" s="11" t="s">
        <v>17</v>
      </c>
      <c r="J40" s="11" t="s">
        <v>375</v>
      </c>
    </row>
    <row r="41" spans="1:10" ht="15">
      <c r="A41" s="11" t="s">
        <v>376</v>
      </c>
      <c r="B41" s="2" t="s">
        <v>372</v>
      </c>
      <c r="C41" s="11" t="s">
        <v>377</v>
      </c>
      <c r="D41" s="11" t="s">
        <v>372</v>
      </c>
      <c r="E41" s="11" t="s">
        <v>13</v>
      </c>
      <c r="F41" s="11" t="s">
        <v>378</v>
      </c>
      <c r="G41" s="11" t="s">
        <v>183</v>
      </c>
      <c r="H41" s="11" t="s">
        <v>379</v>
      </c>
      <c r="I41" s="11" t="s">
        <v>17</v>
      </c>
      <c r="J41" s="11" t="s">
        <v>380</v>
      </c>
    </row>
    <row r="42" spans="1:10" ht="15">
      <c r="A42" s="11" t="s">
        <v>381</v>
      </c>
      <c r="B42" s="2" t="s">
        <v>382</v>
      </c>
      <c r="C42" s="11" t="s">
        <v>383</v>
      </c>
      <c r="D42" s="11" t="s">
        <v>382</v>
      </c>
      <c r="E42" s="11" t="s">
        <v>13</v>
      </c>
      <c r="F42" s="11" t="s">
        <v>384</v>
      </c>
      <c r="G42" s="11" t="s">
        <v>183</v>
      </c>
      <c r="H42" s="11" t="s">
        <v>324</v>
      </c>
      <c r="I42" s="11" t="s">
        <v>17</v>
      </c>
      <c r="J42" s="11" t="s">
        <v>385</v>
      </c>
    </row>
    <row r="43" spans="1:10" ht="15">
      <c r="A43" s="11" t="s">
        <v>386</v>
      </c>
      <c r="B43" s="2" t="s">
        <v>387</v>
      </c>
      <c r="C43" s="11" t="s">
        <v>388</v>
      </c>
      <c r="D43" s="11" t="s">
        <v>387</v>
      </c>
      <c r="E43" s="11" t="s">
        <v>13</v>
      </c>
      <c r="F43" s="11" t="s">
        <v>389</v>
      </c>
      <c r="G43" s="11" t="s">
        <v>47</v>
      </c>
      <c r="H43" s="11" t="s">
        <v>390</v>
      </c>
      <c r="I43" s="11" t="s">
        <v>17</v>
      </c>
      <c r="J43" s="11" t="s">
        <v>391</v>
      </c>
    </row>
    <row r="44" spans="1:10" ht="15">
      <c r="A44" s="11" t="s">
        <v>392</v>
      </c>
      <c r="B44" s="2" t="s">
        <v>393</v>
      </c>
      <c r="C44" s="11" t="s">
        <v>394</v>
      </c>
      <c r="D44" s="11" t="s">
        <v>393</v>
      </c>
      <c r="E44" s="11" t="s">
        <v>13</v>
      </c>
      <c r="F44" s="11" t="s">
        <v>265</v>
      </c>
      <c r="G44" s="11" t="s">
        <v>15</v>
      </c>
      <c r="H44" s="11" t="s">
        <v>395</v>
      </c>
      <c r="I44" s="11" t="s">
        <v>17</v>
      </c>
      <c r="J44" s="11" t="s">
        <v>396</v>
      </c>
    </row>
    <row r="45" spans="1:10" ht="15">
      <c r="A45" s="11" t="s">
        <v>397</v>
      </c>
      <c r="B45" s="2" t="s">
        <v>398</v>
      </c>
      <c r="C45" s="11" t="s">
        <v>399</v>
      </c>
      <c r="D45" s="11" t="s">
        <v>400</v>
      </c>
      <c r="E45" s="11" t="s">
        <v>401</v>
      </c>
      <c r="F45" s="11" t="s">
        <v>402</v>
      </c>
      <c r="G45" s="11" t="s">
        <v>183</v>
      </c>
      <c r="H45" s="11" t="s">
        <v>403</v>
      </c>
      <c r="I45" s="11" t="s">
        <v>17</v>
      </c>
      <c r="J45" s="11" t="s">
        <v>404</v>
      </c>
    </row>
    <row r="46" spans="1:10" ht="15">
      <c r="A46" s="11" t="s">
        <v>405</v>
      </c>
      <c r="B46" s="2" t="s">
        <v>406</v>
      </c>
      <c r="C46" s="11" t="s">
        <v>407</v>
      </c>
      <c r="D46" s="11" t="s">
        <v>406</v>
      </c>
      <c r="E46" s="11" t="s">
        <v>13</v>
      </c>
      <c r="F46" s="11" t="s">
        <v>389</v>
      </c>
      <c r="G46" s="11" t="s">
        <v>47</v>
      </c>
      <c r="H46" s="11" t="s">
        <v>408</v>
      </c>
      <c r="I46" s="11" t="s">
        <v>17</v>
      </c>
      <c r="J46" s="11" t="s">
        <v>409</v>
      </c>
    </row>
    <row r="47" spans="1:10" ht="15">
      <c r="A47" s="11" t="s">
        <v>405</v>
      </c>
      <c r="B47" s="2" t="s">
        <v>406</v>
      </c>
      <c r="C47" s="11" t="s">
        <v>410</v>
      </c>
      <c r="D47" s="11" t="s">
        <v>411</v>
      </c>
      <c r="E47" s="11" t="s">
        <v>412</v>
      </c>
      <c r="F47" s="11" t="s">
        <v>413</v>
      </c>
      <c r="G47" s="11" t="s">
        <v>47</v>
      </c>
      <c r="H47" s="11" t="s">
        <v>414</v>
      </c>
      <c r="I47" s="11" t="s">
        <v>17</v>
      </c>
      <c r="J47" s="11" t="s">
        <v>415</v>
      </c>
    </row>
    <row r="48" spans="1:10" ht="15">
      <c r="A48" s="11" t="s">
        <v>405</v>
      </c>
      <c r="B48" s="2" t="s">
        <v>406</v>
      </c>
      <c r="C48" s="11" t="s">
        <v>410</v>
      </c>
      <c r="D48" s="11" t="s">
        <v>416</v>
      </c>
      <c r="E48" s="11" t="s">
        <v>412</v>
      </c>
      <c r="F48" s="11" t="s">
        <v>413</v>
      </c>
      <c r="G48" s="11" t="s">
        <v>47</v>
      </c>
      <c r="H48" s="11" t="s">
        <v>414</v>
      </c>
      <c r="I48" s="11" t="s">
        <v>17</v>
      </c>
      <c r="J48" s="11" t="s">
        <v>417</v>
      </c>
    </row>
    <row r="49" spans="1:10" ht="15">
      <c r="A49" s="11" t="s">
        <v>418</v>
      </c>
      <c r="B49" s="2"/>
      <c r="C49" s="11" t="s">
        <v>419</v>
      </c>
      <c r="D49" s="11" t="s">
        <v>416</v>
      </c>
      <c r="E49" s="11" t="s">
        <v>412</v>
      </c>
      <c r="F49" s="11" t="s">
        <v>420</v>
      </c>
      <c r="G49" s="11" t="s">
        <v>183</v>
      </c>
      <c r="H49" s="11" t="s">
        <v>421</v>
      </c>
      <c r="I49" s="11" t="s">
        <v>17</v>
      </c>
      <c r="J49" s="11" t="s">
        <v>422</v>
      </c>
    </row>
    <row r="50" spans="1:10" ht="15">
      <c r="A50" s="11" t="s">
        <v>10</v>
      </c>
      <c r="B50" s="2" t="s">
        <v>11</v>
      </c>
      <c r="C50" s="11" t="s">
        <v>12</v>
      </c>
      <c r="D50" s="11" t="s">
        <v>11</v>
      </c>
      <c r="E50" s="11" t="s">
        <v>13</v>
      </c>
      <c r="F50" s="11" t="s">
        <v>14</v>
      </c>
      <c r="G50" s="11" t="s">
        <v>15</v>
      </c>
      <c r="H50" s="11" t="s">
        <v>16</v>
      </c>
      <c r="I50" s="11" t="s">
        <v>17</v>
      </c>
      <c r="J50" s="11" t="s">
        <v>18</v>
      </c>
    </row>
    <row r="51" spans="1:10" ht="25.5">
      <c r="A51" s="11" t="s">
        <v>19</v>
      </c>
      <c r="B51" s="2" t="s">
        <v>20</v>
      </c>
      <c r="C51" s="11" t="s">
        <v>21</v>
      </c>
      <c r="D51" s="11" t="s">
        <v>22</v>
      </c>
      <c r="E51" s="11" t="s">
        <v>23</v>
      </c>
      <c r="F51" s="11" t="s">
        <v>24</v>
      </c>
      <c r="G51" s="11" t="s">
        <v>15</v>
      </c>
      <c r="H51" s="11" t="s">
        <v>25</v>
      </c>
      <c r="I51" s="14" t="s">
        <v>26</v>
      </c>
      <c r="J51" s="11" t="s">
        <v>27</v>
      </c>
    </row>
    <row r="52" spans="1:10" ht="25.5">
      <c r="A52" s="11" t="s">
        <v>28</v>
      </c>
      <c r="B52" s="2" t="s">
        <v>29</v>
      </c>
      <c r="C52" s="11" t="s">
        <v>30</v>
      </c>
      <c r="D52" s="11" t="s">
        <v>29</v>
      </c>
      <c r="E52" s="11" t="s">
        <v>31</v>
      </c>
      <c r="F52" s="11" t="s">
        <v>32</v>
      </c>
      <c r="G52" s="11" t="s">
        <v>33</v>
      </c>
      <c r="H52" s="11" t="s">
        <v>34</v>
      </c>
      <c r="I52" s="11" t="s">
        <v>35</v>
      </c>
      <c r="J52" s="11" t="s">
        <v>36</v>
      </c>
    </row>
    <row r="53" spans="1:10" ht="25.5">
      <c r="A53" s="11" t="s">
        <v>28</v>
      </c>
      <c r="B53" s="2" t="s">
        <v>29</v>
      </c>
      <c r="C53" s="11" t="s">
        <v>37</v>
      </c>
      <c r="D53" s="11" t="s">
        <v>29</v>
      </c>
      <c r="E53" s="11" t="s">
        <v>23</v>
      </c>
      <c r="F53" s="11" t="s">
        <v>38</v>
      </c>
      <c r="G53" s="11" t="s">
        <v>39</v>
      </c>
      <c r="H53" s="11" t="s">
        <v>40</v>
      </c>
      <c r="I53" s="11" t="s">
        <v>35</v>
      </c>
      <c r="J53" s="11" t="s">
        <v>41</v>
      </c>
    </row>
    <row r="54" spans="1:10" ht="25.5">
      <c r="A54" s="11" t="s">
        <v>42</v>
      </c>
      <c r="B54" s="2" t="s">
        <v>43</v>
      </c>
      <c r="C54" s="11" t="s">
        <v>44</v>
      </c>
      <c r="D54" s="11" t="s">
        <v>43</v>
      </c>
      <c r="E54" s="11" t="s">
        <v>45</v>
      </c>
      <c r="F54" s="11" t="s">
        <v>46</v>
      </c>
      <c r="G54" s="11" t="s">
        <v>47</v>
      </c>
      <c r="H54" s="11" t="s">
        <v>48</v>
      </c>
      <c r="I54" s="13" t="s">
        <v>49</v>
      </c>
      <c r="J54" s="11" t="s">
        <v>50</v>
      </c>
    </row>
    <row r="55" spans="1:10" ht="25.5">
      <c r="A55" s="11" t="s">
        <v>42</v>
      </c>
      <c r="B55" s="2" t="s">
        <v>43</v>
      </c>
      <c r="C55" s="11" t="s">
        <v>51</v>
      </c>
      <c r="D55" s="11" t="s">
        <v>43</v>
      </c>
      <c r="E55" s="11" t="s">
        <v>52</v>
      </c>
      <c r="F55" s="11" t="s">
        <v>53</v>
      </c>
      <c r="G55" s="11" t="s">
        <v>39</v>
      </c>
      <c r="H55" s="11" t="s">
        <v>54</v>
      </c>
      <c r="I55" s="11" t="s">
        <v>35</v>
      </c>
      <c r="J55" s="11" t="s">
        <v>55</v>
      </c>
    </row>
    <row r="56" spans="1:10" ht="25.5">
      <c r="A56" s="11" t="s">
        <v>56</v>
      </c>
      <c r="B56" s="2" t="s">
        <v>57</v>
      </c>
      <c r="C56" s="11" t="s">
        <v>58</v>
      </c>
      <c r="D56" s="11" t="s">
        <v>57</v>
      </c>
      <c r="E56" s="11" t="s">
        <v>59</v>
      </c>
      <c r="F56" s="11" t="s">
        <v>60</v>
      </c>
      <c r="G56" s="11" t="s">
        <v>61</v>
      </c>
      <c r="H56" s="11" t="s">
        <v>62</v>
      </c>
      <c r="I56" s="11" t="s">
        <v>35</v>
      </c>
      <c r="J56" s="11" t="s">
        <v>63</v>
      </c>
    </row>
    <row r="57" spans="1:10" ht="25.5">
      <c r="A57" s="11" t="s">
        <v>64</v>
      </c>
      <c r="B57" s="2" t="s">
        <v>65</v>
      </c>
      <c r="C57" s="11" t="s">
        <v>66</v>
      </c>
      <c r="D57" s="11" t="s">
        <v>65</v>
      </c>
      <c r="E57" s="11" t="s">
        <v>13</v>
      </c>
      <c r="F57" s="11" t="s">
        <v>67</v>
      </c>
      <c r="G57" s="11" t="s">
        <v>33</v>
      </c>
      <c r="H57" s="11" t="s">
        <v>68</v>
      </c>
      <c r="I57" s="13" t="s">
        <v>49</v>
      </c>
      <c r="J57" s="11" t="s">
        <v>69</v>
      </c>
    </row>
    <row r="58" spans="1:10" ht="38.25">
      <c r="A58" s="11" t="s">
        <v>70</v>
      </c>
      <c r="B58" s="2" t="s">
        <v>71</v>
      </c>
      <c r="C58" s="11" t="s">
        <v>72</v>
      </c>
      <c r="D58" s="11" t="s">
        <v>71</v>
      </c>
      <c r="E58" s="11" t="s">
        <v>59</v>
      </c>
      <c r="F58" s="11" t="s">
        <v>46</v>
      </c>
      <c r="G58" s="11" t="s">
        <v>33</v>
      </c>
      <c r="H58" s="11" t="s">
        <v>73</v>
      </c>
      <c r="I58" s="11" t="s">
        <v>35</v>
      </c>
      <c r="J58" s="11" t="s">
        <v>74</v>
      </c>
    </row>
    <row r="59" spans="1:10" ht="25.5">
      <c r="A59" s="11" t="s">
        <v>75</v>
      </c>
      <c r="B59" s="12" t="s">
        <v>76</v>
      </c>
      <c r="C59" s="11" t="s">
        <v>77</v>
      </c>
      <c r="D59" s="11" t="s">
        <v>76</v>
      </c>
      <c r="E59" s="11" t="s">
        <v>59</v>
      </c>
      <c r="F59" s="11" t="s">
        <v>46</v>
      </c>
      <c r="G59" s="11" t="s">
        <v>47</v>
      </c>
      <c r="H59" s="11" t="s">
        <v>78</v>
      </c>
      <c r="I59" s="11" t="s">
        <v>35</v>
      </c>
      <c r="J59" s="11" t="s">
        <v>79</v>
      </c>
    </row>
    <row r="60" spans="1:10" ht="38.25">
      <c r="A60" s="11" t="s">
        <v>80</v>
      </c>
      <c r="B60" s="12" t="s">
        <v>81</v>
      </c>
      <c r="C60" s="11" t="s">
        <v>82</v>
      </c>
      <c r="D60" s="11" t="s">
        <v>81</v>
      </c>
      <c r="E60" s="11" t="s">
        <v>13</v>
      </c>
      <c r="F60" s="11" t="s">
        <v>83</v>
      </c>
      <c r="G60" s="11" t="s">
        <v>47</v>
      </c>
      <c r="H60" s="11" t="s">
        <v>84</v>
      </c>
      <c r="I60" s="11" t="s">
        <v>35</v>
      </c>
      <c r="J60" s="11" t="s">
        <v>85</v>
      </c>
    </row>
    <row r="61" spans="1:10" ht="25.5">
      <c r="A61" s="11" t="s">
        <v>86</v>
      </c>
      <c r="B61" s="12" t="s">
        <v>87</v>
      </c>
      <c r="C61" s="11" t="s">
        <v>88</v>
      </c>
      <c r="D61" s="11" t="s">
        <v>87</v>
      </c>
      <c r="E61" s="11" t="s">
        <v>13</v>
      </c>
      <c r="F61" s="11" t="s">
        <v>89</v>
      </c>
      <c r="G61" s="11" t="s">
        <v>47</v>
      </c>
      <c r="H61" s="11" t="s">
        <v>90</v>
      </c>
      <c r="I61" s="13" t="s">
        <v>49</v>
      </c>
      <c r="J61" s="11" t="s">
        <v>91</v>
      </c>
    </row>
    <row r="62" spans="1:10" ht="50.25">
      <c r="A62" s="11" t="s">
        <v>92</v>
      </c>
      <c r="B62" s="12" t="s">
        <v>87</v>
      </c>
      <c r="C62" s="11" t="s">
        <v>93</v>
      </c>
      <c r="D62" s="11" t="s">
        <v>87</v>
      </c>
      <c r="E62" s="11" t="s">
        <v>13</v>
      </c>
      <c r="F62" s="11" t="s">
        <v>94</v>
      </c>
      <c r="G62" s="11" t="s">
        <v>47</v>
      </c>
      <c r="H62" s="11" t="s">
        <v>95</v>
      </c>
      <c r="I62" s="11" t="s">
        <v>35</v>
      </c>
      <c r="J62" s="11" t="s">
        <v>96</v>
      </c>
    </row>
    <row r="63" spans="1:10" ht="38.25">
      <c r="A63" s="11" t="s">
        <v>97</v>
      </c>
      <c r="B63" s="12" t="s">
        <v>98</v>
      </c>
      <c r="C63" s="11" t="s">
        <v>99</v>
      </c>
      <c r="D63" s="11" t="s">
        <v>98</v>
      </c>
      <c r="E63" s="11" t="s">
        <v>13</v>
      </c>
      <c r="F63" s="11" t="s">
        <v>89</v>
      </c>
      <c r="G63" s="11" t="s">
        <v>47</v>
      </c>
      <c r="H63" s="11" t="s">
        <v>100</v>
      </c>
      <c r="I63" s="11" t="s">
        <v>35</v>
      </c>
      <c r="J63" s="11" t="s">
        <v>101</v>
      </c>
    </row>
    <row r="64" spans="1:10" ht="88.5" customHeight="1">
      <c r="A64" s="11" t="s">
        <v>102</v>
      </c>
      <c r="B64" s="12" t="s">
        <v>103</v>
      </c>
      <c r="C64" s="11" t="s">
        <v>104</v>
      </c>
      <c r="D64" s="11" t="s">
        <v>103</v>
      </c>
      <c r="E64" s="11" t="s">
        <v>13</v>
      </c>
      <c r="F64" s="11" t="s">
        <v>105</v>
      </c>
      <c r="G64" s="11" t="s">
        <v>47</v>
      </c>
      <c r="H64" s="11" t="s">
        <v>106</v>
      </c>
      <c r="I64" s="11" t="s">
        <v>35</v>
      </c>
      <c r="J64" s="11" t="s">
        <v>107</v>
      </c>
    </row>
    <row r="65" spans="1:10" ht="38.25">
      <c r="A65" s="11" t="s">
        <v>108</v>
      </c>
      <c r="B65" s="12" t="s">
        <v>109</v>
      </c>
      <c r="C65" s="11" t="s">
        <v>110</v>
      </c>
      <c r="D65" s="11" t="s">
        <v>109</v>
      </c>
      <c r="E65" s="11" t="s">
        <v>13</v>
      </c>
      <c r="F65" s="11" t="s">
        <v>111</v>
      </c>
      <c r="G65" s="11" t="s">
        <v>15</v>
      </c>
      <c r="H65" s="11" t="s">
        <v>112</v>
      </c>
      <c r="I65" s="13" t="s">
        <v>49</v>
      </c>
      <c r="J65" s="11" t="s">
        <v>423</v>
      </c>
    </row>
    <row r="66" spans="1:10" ht="38.25">
      <c r="A66" s="11" t="s">
        <v>114</v>
      </c>
      <c r="B66" s="12" t="s">
        <v>115</v>
      </c>
      <c r="C66" s="11" t="s">
        <v>116</v>
      </c>
      <c r="D66" s="11" t="s">
        <v>115</v>
      </c>
      <c r="E66" s="11" t="s">
        <v>13</v>
      </c>
      <c r="F66" s="11" t="s">
        <v>89</v>
      </c>
      <c r="G66" s="11" t="s">
        <v>33</v>
      </c>
      <c r="H66" s="11" t="s">
        <v>117</v>
      </c>
      <c r="I66" s="13" t="s">
        <v>49</v>
      </c>
      <c r="J66" s="11" t="s">
        <v>118</v>
      </c>
    </row>
    <row r="67" spans="1:10" ht="38.25">
      <c r="A67" s="11" t="s">
        <v>119</v>
      </c>
      <c r="B67" s="12" t="s">
        <v>120</v>
      </c>
      <c r="C67" s="11" t="s">
        <v>121</v>
      </c>
      <c r="D67" s="11" t="s">
        <v>120</v>
      </c>
      <c r="E67" s="11" t="s">
        <v>13</v>
      </c>
      <c r="F67" s="11" t="s">
        <v>122</v>
      </c>
      <c r="G67" s="11" t="s">
        <v>123</v>
      </c>
      <c r="H67" s="11" t="s">
        <v>124</v>
      </c>
      <c r="I67" s="13" t="s">
        <v>49</v>
      </c>
      <c r="J67" s="11" t="s">
        <v>125</v>
      </c>
    </row>
    <row r="68" spans="1:10" ht="57.75" customHeight="1">
      <c r="A68" s="11" t="s">
        <v>126</v>
      </c>
      <c r="B68" s="12" t="s">
        <v>127</v>
      </c>
      <c r="C68" s="11" t="s">
        <v>128</v>
      </c>
      <c r="D68" s="11" t="s">
        <v>127</v>
      </c>
      <c r="E68" s="11" t="s">
        <v>13</v>
      </c>
      <c r="F68" s="11" t="s">
        <v>122</v>
      </c>
      <c r="G68" s="11" t="s">
        <v>47</v>
      </c>
      <c r="H68" s="11" t="s">
        <v>129</v>
      </c>
      <c r="I68" s="14" t="s">
        <v>26</v>
      </c>
      <c r="J68" s="11" t="s">
        <v>130</v>
      </c>
    </row>
    <row r="69" spans="1:10" ht="38.25">
      <c r="A69" s="11" t="s">
        <v>131</v>
      </c>
      <c r="B69" s="12" t="s">
        <v>132</v>
      </c>
      <c r="C69" s="11" t="s">
        <v>133</v>
      </c>
      <c r="D69" s="11" t="s">
        <v>132</v>
      </c>
      <c r="E69" s="11" t="s">
        <v>13</v>
      </c>
      <c r="F69" s="11" t="s">
        <v>122</v>
      </c>
      <c r="G69" s="11" t="s">
        <v>47</v>
      </c>
      <c r="H69" s="11" t="s">
        <v>134</v>
      </c>
      <c r="I69" s="14" t="s">
        <v>49</v>
      </c>
      <c r="J69" s="11" t="s">
        <v>135</v>
      </c>
    </row>
  </sheetData>
  <conditionalFormatting sqref="I2:I69">
    <cfRule type="expression" dxfId="3" priority="1">
      <formula>I2="Open"</formula>
    </cfRule>
    <cfRule type="expression" dxfId="2" priority="2">
      <formula>I2="Resolved"</formula>
    </cfRule>
  </conditionalFormatting>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Flow_SignoffStatus xmlns="eb01c4d0-e090-488c-8bff-09478d0595ee" xsi:nil="true"/>
    <Subteam xmlns="eb01c4d0-e090-488c-8bff-09478d0595ee" xsi:nil="true"/>
    <Questions xmlns="eb01c4d0-e090-488c-8bff-09478d0595ee" xsi:nil="true"/>
    <Categories xmlns="eb01c4d0-e090-488c-8bff-09478d0595ee" xsi:nil="true"/>
    <SharedWithUsers xmlns="7e1565fe-491a-4b0c-8ac0-730e967d8dcf">
      <UserInfo>
        <DisplayName/>
        <AccountId xsi:nil="true"/>
        <AccountType/>
      </UserInfo>
    </SharedWithUsers>
    <TaxCatchAll xmlns="7e1565fe-491a-4b0c-8ac0-730e967d8dcf" xsi:nil="true"/>
    <lcf76f155ced4ddcb4097134ff3c332f xmlns="eb01c4d0-e090-488c-8bff-09478d0595e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77E0D110247B64EBB890FFEBAA421C5" ma:contentTypeVersion="20" ma:contentTypeDescription="Create a new document." ma:contentTypeScope="" ma:versionID="953f94ed918e597829079f610b962252">
  <xsd:schema xmlns:xsd="http://www.w3.org/2001/XMLSchema" xmlns:xs="http://www.w3.org/2001/XMLSchema" xmlns:p="http://schemas.microsoft.com/office/2006/metadata/properties" xmlns:ns2="eb01c4d0-e090-488c-8bff-09478d0595ee" xmlns:ns3="7e1565fe-491a-4b0c-8ac0-730e967d8dcf" targetNamespace="http://schemas.microsoft.com/office/2006/metadata/properties" ma:root="true" ma:fieldsID="83fba970e83c6a1ca80949057fb88c90" ns2:_="" ns3:_="">
    <xsd:import namespace="eb01c4d0-e090-488c-8bff-09478d0595ee"/>
    <xsd:import namespace="7e1565fe-491a-4b0c-8ac0-730e967d8dcf"/>
    <xsd:element name="properties">
      <xsd:complexType>
        <xsd:sequence>
          <xsd:element name="documentManagement">
            <xsd:complexType>
              <xsd:all>
                <xsd:element ref="ns2:MediaServiceMetadata" minOccurs="0"/>
                <xsd:element ref="ns2:MediaServiceFastMetadata" minOccurs="0"/>
                <xsd:element ref="ns2:Categor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Subteam" minOccurs="0"/>
                <xsd:element ref="ns3:SharedWithUsers" minOccurs="0"/>
                <xsd:element ref="ns3:SharedWithDetails" minOccurs="0"/>
                <xsd:element ref="ns2:MediaServiceDateTaken" minOccurs="0"/>
                <xsd:element ref="ns2:MediaServiceLocation" minOccurs="0"/>
                <xsd:element ref="ns2:MediaLengthInSeconds" minOccurs="0"/>
                <xsd:element ref="ns2:_Flow_SignoffStatus" minOccurs="0"/>
                <xsd:element ref="ns2:Question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01c4d0-e090-488c-8bff-09478d0595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Categories" ma:index="10" nillable="true" ma:displayName="Categories" ma:format="Dropdown" ma:internalName="Categories">
      <xsd:simpleType>
        <xsd:restriction base="dms:Choice">
          <xsd:enumeration value="Project"/>
          <xsd:enumeration value="Process Review"/>
        </xsd:restrictio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23f88b8-b0a3-4bc6-9cc3-74db93daebb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Subteam" ma:index="17" nillable="true" ma:displayName="Subteam" ma:format="Dropdown" ma:internalName="Subteam">
      <xsd:simpleType>
        <xsd:restriction base="dms:Choice">
          <xsd:enumeration value="IT Support"/>
          <xsd:enumeration value="AV Support"/>
          <xsd:enumeration value="Event Support"/>
          <xsd:enumeration value="Others"/>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Flow_SignoffStatus" ma:index="23" nillable="true" ma:displayName="Sign-off status" ma:internalName="Sign_x002d_off_x0020_status">
      <xsd:simpleType>
        <xsd:restriction base="dms:Text"/>
      </xsd:simpleType>
    </xsd:element>
    <xsd:element name="Questions" ma:index="24" nillable="true" ma:displayName="Questions" ma:format="Dropdown" ma:internalName="Questions">
      <xsd:simpleType>
        <xsd:restriction base="dms:Text">
          <xsd:maxLength value="255"/>
        </xsd:restrictio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1565fe-491a-4b0c-8ac0-730e967d8dcf"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7ea52237-d00b-48a0-9b53-803f82f20b18}" ma:internalName="TaxCatchAll" ma:showField="CatchAllData" ma:web="7e1565fe-491a-4b0c-8ac0-730e967d8dc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220BA0E-444B-4DF2-95E0-864C1377FFB6}"/>
</file>

<file path=customXml/itemProps2.xml><?xml version="1.0" encoding="utf-8"?>
<ds:datastoreItem xmlns:ds="http://schemas.openxmlformats.org/officeDocument/2006/customXml" ds:itemID="{A8F81B7F-EBFF-412D-929D-EBEA840227F7}"/>
</file>

<file path=customXml/itemProps3.xml><?xml version="1.0" encoding="utf-8"?>
<ds:datastoreItem xmlns:ds="http://schemas.openxmlformats.org/officeDocument/2006/customXml" ds:itemID="{47DB2603-0CBD-4121-9935-4E4EF1290AD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Danny LAM (ITSC)</dc:creator>
  <cp:keywords/>
  <dc:description/>
  <cp:lastModifiedBy/>
  <cp:revision/>
  <dcterms:created xsi:type="dcterms:W3CDTF">2026-07-10T03:21:26Z</dcterms:created>
  <dcterms:modified xsi:type="dcterms:W3CDTF">2026-09-10T08:59:42Z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f47c9fc-b882-441b-a296-0591a76080ea_Enabled">
    <vt:lpwstr>true</vt:lpwstr>
  </property>
  <property fmtid="{D5CDD505-2E9C-101B-9397-08002B2CF9AE}" pid="3" name="MSIP_Label_bf47c9fc-b882-441b-a296-0591a76080ea_SetDate">
    <vt:lpwstr>2026-07-10T03:21:29Z</vt:lpwstr>
  </property>
  <property fmtid="{D5CDD505-2E9C-101B-9397-08002B2CF9AE}" pid="4" name="MSIP_Label_bf47c9fc-b882-441b-a296-0591a76080ea_Method">
    <vt:lpwstr>Standard</vt:lpwstr>
  </property>
  <property fmtid="{D5CDD505-2E9C-101B-9397-08002B2CF9AE}" pid="5" name="MSIP_Label_bf47c9fc-b882-441b-a296-0591a76080ea_Name">
    <vt:lpwstr>Public</vt:lpwstr>
  </property>
  <property fmtid="{D5CDD505-2E9C-101B-9397-08002B2CF9AE}" pid="6" name="MSIP_Label_bf47c9fc-b882-441b-a296-0591a76080ea_SiteId">
    <vt:lpwstr>a5819553-432c-4f87-aa01-56da11acc555</vt:lpwstr>
  </property>
  <property fmtid="{D5CDD505-2E9C-101B-9397-08002B2CF9AE}" pid="7" name="MSIP_Label_bf47c9fc-b882-441b-a296-0591a76080ea_ActionId">
    <vt:lpwstr>4571b171-8586-42e0-a437-5a72129303fc</vt:lpwstr>
  </property>
  <property fmtid="{D5CDD505-2E9C-101B-9397-08002B2CF9AE}" pid="8" name="MSIP_Label_bf47c9fc-b882-441b-a296-0591a76080ea_ContentBits">
    <vt:lpwstr>0</vt:lpwstr>
  </property>
  <property fmtid="{D5CDD505-2E9C-101B-9397-08002B2CF9AE}" pid="9" name="ContentTypeId">
    <vt:lpwstr>0x010100977E0D110247B64EBB890FFEBAA421C5</vt:lpwstr>
  </property>
  <property fmtid="{D5CDD505-2E9C-101B-9397-08002B2CF9AE}" pid="10" name="_SourceUrl">
    <vt:lpwstr/>
  </property>
  <property fmtid="{D5CDD505-2E9C-101B-9397-08002B2CF9AE}" pid="11" name="_SharedFileIndex">
    <vt:lpwstr/>
  </property>
  <property fmtid="{D5CDD505-2E9C-101B-9397-08002B2CF9AE}" pid="12" name="ComplianceAssetId">
    <vt:lpwstr/>
  </property>
  <property fmtid="{D5CDD505-2E9C-101B-9397-08002B2CF9AE}" pid="13" name="_activity">
    <vt:lpwstr>{"FileActivityType":"9","FileActivityTimeStamp":"2026-07-10T03:21:32.113Z","FileActivityUsersOnPage":[{"DisplayName":"Danny LAM (ITSC)","Id":"dannylam@hsu.edu.hk"}],"FileActivityNavigationId":null}</vt:lpwstr>
  </property>
  <property fmtid="{D5CDD505-2E9C-101B-9397-08002B2CF9AE}" pid="14" name="_ExtendedDescription">
    <vt:lpwstr/>
  </property>
  <property fmtid="{D5CDD505-2E9C-101B-9397-08002B2CF9AE}" pid="15" name="TriggerFlowInfo">
    <vt:lpwstr/>
  </property>
  <property fmtid="{D5CDD505-2E9C-101B-9397-08002B2CF9AE}" pid="16" name="MediaServiceImageTags">
    <vt:lpwstr/>
  </property>
</Properties>
</file>